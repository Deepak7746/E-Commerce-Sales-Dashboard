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9db045a15011397/Documents/"/>
    </mc:Choice>
  </mc:AlternateContent>
  <xr:revisionPtr revIDLastSave="1455" documentId="8_{89D5348B-8BDF-4319-9340-56785294FF5F}" xr6:coauthVersionLast="47" xr6:coauthVersionMax="47" xr10:uidLastSave="{2014C3C1-ED7E-4ECF-A1BC-4C12093C4831}"/>
  <bookViews>
    <workbookView xWindow="-120" yWindow="-120" windowWidth="20730" windowHeight="11040" activeTab="1" xr2:uid="{A996A39F-18E2-4847-9B34-EBB86C5239A4}"/>
  </bookViews>
  <sheets>
    <sheet name="pivot Table" sheetId="2" r:id="rId1"/>
    <sheet name="Dashboard" sheetId="3" r:id="rId2"/>
    <sheet name="E-Commerce sales" sheetId="1" r:id="rId3"/>
  </sheets>
  <definedNames>
    <definedName name="Slicer_Customer">#N/A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7" i="1" l="1"/>
  <c r="M3" i="1"/>
  <c r="F102" i="1"/>
</calcChain>
</file>

<file path=xl/sharedStrings.xml><?xml version="1.0" encoding="utf-8"?>
<sst xmlns="http://schemas.openxmlformats.org/spreadsheetml/2006/main" count="654" uniqueCount="317">
  <si>
    <t>Order Date</t>
  </si>
  <si>
    <t>Customer</t>
  </si>
  <si>
    <t>Region</t>
  </si>
  <si>
    <t>Category</t>
  </si>
  <si>
    <t>Product</t>
  </si>
  <si>
    <t>Quantity</t>
  </si>
  <si>
    <t>Sales</t>
  </si>
  <si>
    <t>Discount</t>
  </si>
  <si>
    <t>Profit</t>
  </si>
  <si>
    <t>Payment</t>
  </si>
  <si>
    <t>Order ID</t>
  </si>
  <si>
    <t xml:space="preserve">                                                                            E-Commerce Sales                                                                                                    </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</si>
  <si>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</si>
  <si>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</si>
  <si>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</si>
  <si>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</si>
  <si>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</si>
  <si>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</si>
  <si>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</si>
  <si>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</si>
  <si>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</si>
  <si>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</si>
  <si>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</si>
  <si>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</si>
  <si>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</si>
  <si>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</si>
  <si>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</si>
  <si>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</si>
  <si>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</si>
  <si>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</si>
  <si>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</si>
  <si>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</si>
  <si>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</si>
  <si>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</si>
  <si>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</si>
  <si>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</si>
  <si>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</si>
  <si>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</si>
  <si>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</si>
  <si>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</si>
  <si>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</si>
  <si>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</si>
  <si>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</si>
  <si>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</si>
  <si>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</si>
  <si>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</si>
  <si>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</si>
  <si>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</si>
  <si>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</si>
  <si>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</si>
  <si>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</si>
  <si>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</si>
  <si>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</si>
  <si>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</si>
  <si>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</si>
  <si>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</si>
  <si>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</si>
  <si>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</si>
  <si>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</si>
  <si>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</si>
  <si>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</si>
  <si>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</si>
  <si>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</si>
  <si>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</si>
  <si>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</si>
  <si>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</si>
  <si>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</si>
  <si>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</si>
  <si>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</si>
  <si>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</si>
  <si>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</si>
  <si>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</si>
  <si>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</si>
  <si>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</si>
  <si>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</si>
  <si>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</si>
  <si>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</si>
  <si>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</si>
  <si>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</si>
  <si>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</si>
  <si>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</si>
  <si>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</si>
  <si>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</si>
  <si>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</si>
  <si>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</si>
  <si>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</si>
  <si>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</si>
  <si>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</si>
  <si>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</si>
  <si>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</si>
  <si>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</si>
  <si>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</si>
  <si>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</si>
  <si>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</si>
  <si>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</si>
  <si>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</si>
  <si>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</si>
  <si>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</si>
  <si>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</si>
  <si>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</si>
  <si>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</si>
  <si>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</si>
  <si>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</si>
  <si>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</si>
  <si>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</si>
  <si>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</si>
  <si>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</si>
  <si>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</si>
  <si>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</si>
  <si>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</si>
  <si>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</si>
  <si>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</si>
  <si>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Aarav Kumar</t>
  </si>
  <si>
    <t>Arjun Raj</t>
  </si>
  <si>
    <t>Aditya Sharma</t>
  </si>
  <si>
    <t>Akash Kumar</t>
  </si>
  <si>
    <t>Ananya Singh</t>
  </si>
  <si>
    <t>Anjali Verma</t>
  </si>
  <si>
    <t>Ashwin Raj</t>
  </si>
  <si>
    <t>Aishwarya Kumar</t>
  </si>
  <si>
    <t>Bala Murugan</t>
  </si>
  <si>
    <t>Bharath Kumar</t>
  </si>
  <si>
    <t>Bhavya Reddy</t>
  </si>
  <si>
    <t>Charan Kumar</t>
  </si>
  <si>
    <t>Deepak Raj</t>
  </si>
  <si>
    <t>Divya Sharma</t>
  </si>
  <si>
    <t>Dinesh Kumar</t>
  </si>
  <si>
    <t>Dharani Raj</t>
  </si>
  <si>
    <t>Gokul Krishna</t>
  </si>
  <si>
    <t>Gayathri Devi</t>
  </si>
  <si>
    <t>Hari Prasad</t>
  </si>
  <si>
    <t>Harini Kumar</t>
  </si>
  <si>
    <t>Hemanth Raj</t>
  </si>
  <si>
    <t>Ishaan Patel</t>
  </si>
  <si>
    <t>Ishwarya Raj</t>
  </si>
  <si>
    <t>Jai Kumar</t>
  </si>
  <si>
    <t>Janani Devi</t>
  </si>
  <si>
    <t>Karthik Raj</t>
  </si>
  <si>
    <t>Kavya Sharma</t>
  </si>
  <si>
    <t>Kishore Kumar</t>
  </si>
  <si>
    <t>Keerthana Raj</t>
  </si>
  <si>
    <t>Lokesh Kumar</t>
  </si>
  <si>
    <t>Lavanya Devi</t>
  </si>
  <si>
    <t>Madhan Raj</t>
  </si>
  <si>
    <t>Mahesh Kumar</t>
  </si>
  <si>
    <t>Manisha Sharma</t>
  </si>
  <si>
    <t>Meena Devi</t>
  </si>
  <si>
    <t>Mohan Raj</t>
  </si>
  <si>
    <t>Naveen Kumar</t>
  </si>
  <si>
    <t>Nandhini Raj</t>
  </si>
  <si>
    <t>Nikhil Sharma</t>
  </si>
  <si>
    <t>Nikitha Devi</t>
  </si>
  <si>
    <t>Pradeep Kumar</t>
  </si>
  <si>
    <t>Priya Sharma</t>
  </si>
  <si>
    <t>Pranav Raj</t>
  </si>
  <si>
    <t>Pooja Devi</t>
  </si>
  <si>
    <t>Rahul Kumar</t>
  </si>
  <si>
    <t>Ramya Raj</t>
  </si>
  <si>
    <t>Rakesh Sharma</t>
  </si>
  <si>
    <t>Ranjith Kumar</t>
  </si>
  <si>
    <t>Reshma Devi</t>
  </si>
  <si>
    <t>Rohit Raj</t>
  </si>
  <si>
    <t>Sahana Kumar</t>
  </si>
  <si>
    <t>Sakthi Raj</t>
  </si>
  <si>
    <t>Sanjay Kumar</t>
  </si>
  <si>
    <t>Sandhya Devi</t>
  </si>
  <si>
    <t>Saravanan Raj</t>
  </si>
  <si>
    <t>Shalini Sharma</t>
  </si>
  <si>
    <t>Shankar Kumar</t>
  </si>
  <si>
    <t>Shruthi Raj</t>
  </si>
  <si>
    <t>Siddharth Kumar</t>
  </si>
  <si>
    <t>Sneha Devi</t>
  </si>
  <si>
    <t>Surya Raj</t>
  </si>
  <si>
    <t>Swathi Kumar</t>
  </si>
  <si>
    <t>Tamilselvan Raj</t>
  </si>
  <si>
    <t>Tharani Devi</t>
  </si>
  <si>
    <t>Udhay Kumar</t>
  </si>
  <si>
    <t>Vaishnavi Raj</t>
  </si>
  <si>
    <t>Varun Sharma</t>
  </si>
  <si>
    <t>Vignesh Kumar</t>
  </si>
  <si>
    <t>Vijay Raj</t>
  </si>
  <si>
    <t>Vinoth Kumar</t>
  </si>
  <si>
    <t>Vishal Sharma</t>
  </si>
  <si>
    <t>Yazhini Devi</t>
  </si>
  <si>
    <t>Abinaya Raj</t>
  </si>
  <si>
    <t>Abhishek Kumar</t>
  </si>
  <si>
    <t>Akhil Raj</t>
  </si>
  <si>
    <t>Amritha Devi</t>
  </si>
  <si>
    <t>Anand Kumar</t>
  </si>
  <si>
    <t>Anusha Raj</t>
  </si>
  <si>
    <t>Ashok Sharma</t>
  </si>
  <si>
    <t>Bhuvana Devi</t>
  </si>
  <si>
    <t>Chandru Kumar</t>
  </si>
  <si>
    <t>Dharshan Raj</t>
  </si>
  <si>
    <t>Ezhil Kumar</t>
  </si>
  <si>
    <t>Fathima Rahman</t>
  </si>
  <si>
    <t>Ganesh Raj</t>
  </si>
  <si>
    <t>Geetha Devi</t>
  </si>
  <si>
    <t>Iniya Kumar</t>
  </si>
  <si>
    <t>Jeeva Raj</t>
  </si>
  <si>
    <t>Kavin Kumar</t>
  </si>
  <si>
    <t>Lakshmi Devi</t>
  </si>
  <si>
    <t>Manoj Raj</t>
  </si>
  <si>
    <t>Monisha Kumar</t>
  </si>
  <si>
    <t>Naren Sharma</t>
  </si>
  <si>
    <t>Pavithra Raj</t>
  </si>
  <si>
    <t>Prakash Kumar</t>
  </si>
  <si>
    <t>Rithika Devi</t>
  </si>
  <si>
    <t>Santhosh Raj</t>
  </si>
  <si>
    <t>Sangeetha Kumar</t>
  </si>
  <si>
    <t>Tejaswini Raj</t>
  </si>
  <si>
    <t>Yuvan Kumar</t>
  </si>
  <si>
    <t>West</t>
  </si>
  <si>
    <t>South</t>
  </si>
  <si>
    <t>North</t>
  </si>
  <si>
    <t>East</t>
  </si>
  <si>
    <t>Furniture</t>
  </si>
  <si>
    <t>Beauty</t>
  </si>
  <si>
    <t>Clothing</t>
  </si>
  <si>
    <t>Electronics</t>
  </si>
  <si>
    <t>Grocery</t>
  </si>
  <si>
    <t>Laptop</t>
  </si>
  <si>
    <t>T-Shirt</t>
  </si>
  <si>
    <t>Jeans</t>
  </si>
  <si>
    <t>Sofa</t>
  </si>
  <si>
    <t>Office Chair</t>
  </si>
  <si>
    <t>Mobile Phone</t>
  </si>
  <si>
    <t>Basmati Rice</t>
  </si>
  <si>
    <t>Cooking Oil</t>
  </si>
  <si>
    <t>Biscuits</t>
  </si>
  <si>
    <t>Coffee Powder</t>
  </si>
  <si>
    <t>Dining Table</t>
  </si>
  <si>
    <t>Formal Shirt</t>
  </si>
  <si>
    <t>Shampoo</t>
  </si>
  <si>
    <t>Face Wash</t>
  </si>
  <si>
    <t>Headphones</t>
  </si>
  <si>
    <t>Face Cream</t>
  </si>
  <si>
    <t>Bed</t>
  </si>
  <si>
    <t>Smart Watch</t>
  </si>
  <si>
    <t>Bluetooth Speaker</t>
  </si>
  <si>
    <t>Tablet</t>
  </si>
  <si>
    <t>Monitor</t>
  </si>
  <si>
    <t>Bookshelf</t>
  </si>
  <si>
    <t>Wheat Flour</t>
  </si>
  <si>
    <t>Lipstick</t>
  </si>
  <si>
    <t>Keyboard</t>
  </si>
  <si>
    <t>Jacket</t>
  </si>
  <si>
    <t>Study Table</t>
  </si>
  <si>
    <t>Sneakers</t>
  </si>
  <si>
    <t>Power Bank</t>
  </si>
  <si>
    <t>Wardrobe</t>
  </si>
  <si>
    <t>Recliner Chair</t>
  </si>
  <si>
    <t>Gaming Mouse</t>
  </si>
  <si>
    <t>Casual Shirt</t>
  </si>
  <si>
    <t>Printer</t>
  </si>
  <si>
    <t>Coffee Table</t>
  </si>
  <si>
    <t>Sports Shoes</t>
  </si>
  <si>
    <t>External Hard Drive</t>
  </si>
  <si>
    <t>Perfume</t>
  </si>
  <si>
    <t>Webcam</t>
  </si>
  <si>
    <t>Mattress</t>
  </si>
  <si>
    <t>Sugar</t>
  </si>
  <si>
    <t>SSD</t>
  </si>
  <si>
    <t>Kurta</t>
  </si>
  <si>
    <t>Polo T-Shirt</t>
  </si>
  <si>
    <t>Hoodie</t>
  </si>
  <si>
    <t>Sunscreen</t>
  </si>
  <si>
    <t>Smartphone</t>
  </si>
  <si>
    <t>Wireless Earbuds</t>
  </si>
  <si>
    <t>Cotton Shirt</t>
  </si>
  <si>
    <t>Green Tea</t>
  </si>
  <si>
    <t>Wireless Charger</t>
  </si>
  <si>
    <t>Mechanical Keyboard</t>
  </si>
  <si>
    <t>Denim Jeans</t>
  </si>
  <si>
    <t>USB Cable</t>
  </si>
  <si>
    <t>Dining Chair</t>
  </si>
  <si>
    <t>Office Table</t>
  </si>
  <si>
    <t>Skirt</t>
  </si>
  <si>
    <t>TV Cabinet</t>
  </si>
  <si>
    <t>Power Adapter</t>
  </si>
  <si>
    <t>Dress</t>
  </si>
  <si>
    <t>Hair Oil</t>
  </si>
  <si>
    <t>Speaker</t>
  </si>
  <si>
    <t>Storage Cabinet</t>
  </si>
  <si>
    <t>Makeup Kit</t>
  </si>
  <si>
    <t>Rice</t>
  </si>
  <si>
    <t>Noodles</t>
  </si>
  <si>
    <t>Body Lotion</t>
  </si>
  <si>
    <t>Pasta</t>
  </si>
  <si>
    <t>Computer Monitor</t>
  </si>
  <si>
    <t>Face Serum</t>
  </si>
  <si>
    <t>Shirt</t>
  </si>
  <si>
    <t>Lip Balm</t>
  </si>
  <si>
    <t>Corn Flakes</t>
  </si>
  <si>
    <t>Instant Coffee</t>
  </si>
  <si>
    <t>Conditioner</t>
  </si>
  <si>
    <t>Bedside Table</t>
  </si>
  <si>
    <t>Pickle</t>
  </si>
  <si>
    <t>Formal Shoes</t>
  </si>
  <si>
    <t>Cooking Spices</t>
  </si>
  <si>
    <t>Face Mask</t>
  </si>
  <si>
    <t>Track Pants</t>
  </si>
  <si>
    <t>Tomato Sauce</t>
  </si>
  <si>
    <t>Body Wash</t>
  </si>
  <si>
    <t>Chocolate Biscuits</t>
  </si>
  <si>
    <t>Net Banking</t>
  </si>
  <si>
    <t>Card</t>
  </si>
  <si>
    <t>Credit</t>
  </si>
  <si>
    <t>UPI</t>
  </si>
  <si>
    <t>Cash</t>
  </si>
  <si>
    <t>Total Sales</t>
  </si>
  <si>
    <t>Row Labels</t>
  </si>
  <si>
    <t>Grand Total</t>
  </si>
  <si>
    <t>Sum of Sales</t>
  </si>
  <si>
    <t>G+C7:D28Row Labels</t>
  </si>
  <si>
    <t>Sum of Profit</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</si>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</sst>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_-* #,##0.000\ [$CHF-100C]_-;\-* #,##0.000\ [$CHF-100C]_-;_-* &quot;-&quot;??\ [$CHF-100C]_-;_-@_-"/>
    <numFmt numFmtId="165" formatCode="_ [$₹-4009]\ * #,##0.00_ ;_ [$₹-4009]\ * \-#,##0.00_ ;_ [$₹-4009]\ * &quot;-&quot;??_ ;_ @_ "/>
  </numFmts>
  <fonts count="4" x14ac:knownFonts="1">
    <font>
      <sz val="11"/>
      <color theme="1"/>
      <name val="Aptos Narrow"/>
      <family val="2"/>
      <scheme val="minor"/>
    </font>
    <font>
      <sz val="11"/>
      <color theme="1"/>
      <name val="Aptos Narrow"/>
      <family val="2"/>
      <scheme val="minor"/>
    </font>
    <font>
      <b/>
      <sz val="12"/>
      <color theme="1"/>
      <name val="Times New Roman"/>
      <family val="1"/>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3" tint="0.74999237037263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0" fontId="2" fillId="2" borderId="1" xfId="0" applyFont="1" applyFill="1" applyBorder="1"/>
    <xf numFmtId="0" fontId="2" fillId="2" borderId="1" xfId="0" applyFont="1" applyFill="1" applyBorder="1" applyAlignment="1">
      <alignment horizontal="center"/>
    </xf>
    <xf numFmtId="164" fontId="0" fillId="0" borderId="1" xfId="2" applyNumberFormat="1" applyFont="1" applyBorder="1"/>
    <xf numFmtId="165" fontId="0" fillId="0" borderId="1" xfId="1" applyNumberFormat="1" applyFont="1" applyBorder="1"/>
    <xf numFmtId="9" fontId="0" fillId="0" borderId="1" xfId="3" applyFont="1" applyBorder="1"/>
    <xf numFmtId="164" fontId="0" fillId="0" borderId="8" xfId="2" applyNumberFormat="1" applyFont="1" applyBorder="1"/>
    <xf numFmtId="165" fontId="0" fillId="0" borderId="8" xfId="1" applyNumberFormat="1" applyFont="1" applyBorder="1"/>
    <xf numFmtId="9" fontId="0" fillId="0" borderId="8" xfId="3" applyFont="1" applyBorder="1"/>
    <xf numFmtId="0" fontId="0" fillId="0" borderId="4" xfId="0" applyBorder="1"/>
    <xf numFmtId="0" fontId="0" fillId="0" borderId="5" xfId="0" applyBorder="1"/>
    <xf numFmtId="0" fontId="0" fillId="0" borderId="6" xfId="0" applyBorder="1"/>
    <xf numFmtId="0" fontId="0" fillId="0" borderId="2" xfId="0" applyBorder="1"/>
    <xf numFmtId="14" fontId="0" fillId="0" borderId="1" xfId="0" applyNumberFormat="1" applyBorder="1"/>
    <xf numFmtId="0" fontId="0" fillId="0" borderId="1" xfId="0" applyBorder="1"/>
    <xf numFmtId="0" fontId="0" fillId="0" borderId="3" xfId="0" applyBorder="1"/>
    <xf numFmtId="0" fontId="0" fillId="0" borderId="7" xfId="0" applyBorder="1"/>
    <xf numFmtId="14" fontId="0" fillId="0" borderId="8" xfId="0" applyNumberFormat="1" applyBorder="1"/>
    <xf numFmtId="0" fontId="0" fillId="0" borderId="8" xfId="0" applyBorder="1"/>
    <xf numFmtId="0" fontId="0" fillId="0" borderId="9" xfId="0" applyBorder="1"/>
    <xf numFmtId="165" fontId="0" fillId="0" borderId="0" xfId="0" applyNumberFormat="1"/>
    <xf numFmtId="0" fontId="0" fillId="2" borderId="1" xfId="0" applyFill="1" applyBorder="1"/>
    <xf numFmtId="165" fontId="0" fillId="3" borderId="1" xfId="0" applyNumberFormat="1" applyFill="1" applyBorder="1"/>
    <xf numFmtId="0" fontId="0" fillId="0" borderId="0" xfId="0" pivotButton="1"/>
    <xf numFmtId="0" fontId="0" fillId="0" borderId="0" xfId="0" applyAlignment="1">
      <alignment horizontal="left"/>
    </xf>
    <xf numFmtId="0" fontId="0" fillId="0" borderId="0" xfId="0" applyNumberFormat="1"/>
  </cellXfs>
  <cellStyles count="4">
    <cellStyle name="Comma" xfId="1" builtinId="3"/>
    <cellStyle name="Currency" xfId="2" builtinId="4"/>
    <cellStyle name="Normal" xfId="0" builtinId="0"/>
    <cellStyle name="Percent" xfId="3" builtinId="5"/>
  </cellStyles>
  <dxfs count="16">
    <dxf>
      <font>
        <strike val="0"/>
        <outline val="0"/>
        <shadow val="0"/>
        <u val="none"/>
        <vertAlign val="baseline"/>
        <sz val="11"/>
        <color theme="1"/>
        <name val="Aptos Narrow"/>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5" formatCode="_ [$₹-4009]\ * #,##0.00_ ;_ [$₹-4009]\ * \-#,##0.00_ ;_ [$₹-4009]\ * &quot;-&quot;??_ ;_ @_ "/>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4" formatCode="_-* #,##0.000\ [$CHF-100C]_-;\-* #,##0.000\ [$CHF-100C]_-;_-* &quot;-&quot;??\ [$CHF-100C]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19" formatCode="dd/mm/yyyy"/>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dxf>
    <dxf>
      <border outline="0">
        <bottom style="thin">
          <color indexed="64"/>
        </bottom>
      </border>
    </dxf>
    <dxf>
      <font>
        <strike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916575754902466"/>
              <c:y val="-8.90414775350160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580501238991234"/>
              <c:y val="-4.68639355447452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7193896668917261"/>
              <c:y val="-9.37278710894914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471217582932061"/>
              <c:y val="-3.28047548813217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60856627997766"/>
          <c:y val="8.1285090639157773E-2"/>
          <c:w val="0.41147353455818025"/>
          <c:h val="0.68578922426363376"/>
        </c:manualLayout>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AC7-4451-A87C-66B5D9656E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C7-4451-A87C-66B5D9656E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AC7-4451-A87C-66B5D9656E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0AC7-4451-A87C-66B5D9656E98}"/>
              </c:ext>
            </c:extLst>
          </c:dPt>
          <c:dLbls>
            <c:dLbl>
              <c:idx val="0"/>
              <c:layout>
                <c:manualLayout>
                  <c:x val="0.16916575754902466"/>
                  <c:y val="-8.90414775350160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C7-4451-A87C-66B5D9656E98}"/>
                </c:ext>
              </c:extLst>
            </c:dLbl>
            <c:dLbl>
              <c:idx val="1"/>
              <c:layout>
                <c:manualLayout>
                  <c:x val="0.18580501238991234"/>
                  <c:y val="-4.68639355447452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C7-4451-A87C-66B5D9656E98}"/>
                </c:ext>
              </c:extLst>
            </c:dLbl>
            <c:dLbl>
              <c:idx val="2"/>
              <c:layout>
                <c:manualLayout>
                  <c:x val="-0.17193896668917261"/>
                  <c:y val="-9.37278710894914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C7-4451-A87C-66B5D9656E98}"/>
                </c:ext>
              </c:extLst>
            </c:dLbl>
            <c:dLbl>
              <c:idx val="3"/>
              <c:layout>
                <c:manualLayout>
                  <c:x val="-0.17471217582932061"/>
                  <c:y val="-3.2804754881321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C7-4451-A87C-66B5D9656E9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_ [$₹-4009]\ * #,##0.00_ ;_ [$₹-4009]\ * \-#,##0.00_ ;_ [$₹-4009]\ * "-"??_ ;_ @_ </c:formatCode>
                <c:ptCount val="4"/>
                <c:pt idx="0">
                  <c:v>66965</c:v>
                </c:pt>
                <c:pt idx="1">
                  <c:v>34298</c:v>
                </c:pt>
                <c:pt idx="2">
                  <c:v>40622</c:v>
                </c:pt>
                <c:pt idx="3">
                  <c:v>57768</c:v>
                </c:pt>
              </c:numCache>
            </c:numRef>
          </c:val>
          <c:extLst>
            <c:ext xmlns:c16="http://schemas.microsoft.com/office/drawing/2014/chart" uri="{C3380CC4-5D6E-409C-BE32-E72D297353CC}">
              <c16:uniqueId val="{00000000-0AC7-4451-A87C-66B5D9656E9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s>
    <c:plotArea>
      <c:layout/>
      <c:barChart>
        <c:barDir val="bar"/>
        <c:grouping val="clustered"/>
        <c:varyColors val="0"/>
        <c:ser>
          <c:idx val="0"/>
          <c:order val="0"/>
          <c:tx>
            <c:strRef>
              <c:f>'pivot Table'!$D$7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Table'!$C$8:$C$16</c:f>
              <c:strCache>
                <c:ptCount val="8"/>
                <c:pt idx="0">
                  <c:v>Basmati Rice</c:v>
                </c:pt>
                <c:pt idx="1">
                  <c:v>Bedside Table</c:v>
                </c:pt>
                <c:pt idx="2">
                  <c:v>Biscuits</c:v>
                </c:pt>
                <c:pt idx="3">
                  <c:v>Conditioner</c:v>
                </c:pt>
                <c:pt idx="4">
                  <c:v>Cooking Oil</c:v>
                </c:pt>
                <c:pt idx="5">
                  <c:v>Cooking Spices</c:v>
                </c:pt>
                <c:pt idx="6">
                  <c:v>Dining Table</c:v>
                </c:pt>
                <c:pt idx="7">
                  <c:v>Dress</c:v>
                </c:pt>
              </c:strCache>
            </c:strRef>
          </c:cat>
          <c:val>
            <c:numRef>
              <c:f>'pivot Table'!$D$8:$D$16</c:f>
              <c:numCache>
                <c:formatCode>_ [$₹-4009]\ * #,##0.00_ ;_ [$₹-4009]\ * \-#,##0.00_ ;_ [$₹-4009]\ * "-"??_ ;_ @_ </c:formatCode>
                <c:ptCount val="8"/>
                <c:pt idx="0">
                  <c:v>60773</c:v>
                </c:pt>
                <c:pt idx="1">
                  <c:v>30339</c:v>
                </c:pt>
                <c:pt idx="2">
                  <c:v>42384</c:v>
                </c:pt>
                <c:pt idx="3">
                  <c:v>3959</c:v>
                </c:pt>
                <c:pt idx="4">
                  <c:v>6056</c:v>
                </c:pt>
                <c:pt idx="5">
                  <c:v>37101</c:v>
                </c:pt>
                <c:pt idx="6">
                  <c:v>14611</c:v>
                </c:pt>
                <c:pt idx="7">
                  <c:v>4430</c:v>
                </c:pt>
              </c:numCache>
            </c:numRef>
          </c:val>
          <c:extLst>
            <c:ext xmlns:c16="http://schemas.microsoft.com/office/drawing/2014/chart" uri="{C3380CC4-5D6E-409C-BE32-E72D297353CC}">
              <c16:uniqueId val="{00000000-A69E-4B7D-B2EC-9BACFCEC8B5A}"/>
            </c:ext>
          </c:extLst>
        </c:ser>
        <c:dLbls>
          <c:dLblPos val="outEnd"/>
          <c:showLegendKey val="0"/>
          <c:showVal val="1"/>
          <c:showCatName val="0"/>
          <c:showSerName val="0"/>
          <c:showPercent val="0"/>
          <c:showBubbleSize val="0"/>
        </c:dLbls>
        <c:gapWidth val="35"/>
        <c:axId val="1423961807"/>
        <c:axId val="1429092239"/>
      </c:barChart>
      <c:catAx>
        <c:axId val="142396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092239"/>
        <c:crosses val="autoZero"/>
        <c:auto val="1"/>
        <c:lblAlgn val="ctr"/>
        <c:lblOffset val="100"/>
        <c:noMultiLvlLbl val="0"/>
      </c:catAx>
      <c:valAx>
        <c:axId val="1429092239"/>
        <c:scaling>
          <c:orientation val="minMax"/>
        </c:scaling>
        <c:delete val="1"/>
        <c:axPos val="b"/>
        <c:numFmt formatCode="_ [$₹-4009]\ * #,##0.00_ ;_ [$₹-4009]\ * \-#,##0.00_ ;_ [$₹-4009]\ * &quot;-&quot;??_ ;_ @_ " sourceLinked="1"/>
        <c:majorTickMark val="none"/>
        <c:minorTickMark val="none"/>
        <c:tickLblPos val="nextTo"/>
        <c:crossAx val="142396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4249781277340332"/>
          <c:w val="0.93888888888888888"/>
          <c:h val="0.4238768591426072"/>
        </c:manualLayout>
      </c:layout>
      <c:barChart>
        <c:barDir val="col"/>
        <c:grouping val="clustered"/>
        <c:varyColors val="0"/>
        <c:ser>
          <c:idx val="0"/>
          <c:order val="0"/>
          <c:tx>
            <c:strRef>
              <c:f>'pivot Table'!$G$7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Table'!$F$8:$F$17</c:f>
              <c:strCache>
                <c:ptCount val="9"/>
                <c:pt idx="0">
                  <c:v>Aishwarya Kumar</c:v>
                </c:pt>
                <c:pt idx="1">
                  <c:v>Ashwin Raj</c:v>
                </c:pt>
                <c:pt idx="2">
                  <c:v>Bala Murugan</c:v>
                </c:pt>
                <c:pt idx="3">
                  <c:v>Bhavya Reddy</c:v>
                </c:pt>
                <c:pt idx="4">
                  <c:v>Chandru Kumar</c:v>
                </c:pt>
                <c:pt idx="5">
                  <c:v>Ezhil Kumar</c:v>
                </c:pt>
                <c:pt idx="6">
                  <c:v>Jeeva Raj</c:v>
                </c:pt>
                <c:pt idx="7">
                  <c:v>Surya Raj</c:v>
                </c:pt>
                <c:pt idx="8">
                  <c:v>Tejaswini Raj</c:v>
                </c:pt>
              </c:strCache>
            </c:strRef>
          </c:cat>
          <c:val>
            <c:numRef>
              <c:f>'pivot Table'!$G$8:$G$17</c:f>
              <c:numCache>
                <c:formatCode>_ [$₹-4009]\ * #,##0.00_ ;_ [$₹-4009]\ * \-#,##0.00_ ;_ [$₹-4009]\ * "-"??_ ;_ @_ </c:formatCode>
                <c:ptCount val="9"/>
                <c:pt idx="0">
                  <c:v>6056</c:v>
                </c:pt>
                <c:pt idx="1">
                  <c:v>36192</c:v>
                </c:pt>
                <c:pt idx="2">
                  <c:v>42384</c:v>
                </c:pt>
                <c:pt idx="3">
                  <c:v>14611</c:v>
                </c:pt>
                <c:pt idx="4">
                  <c:v>3959</c:v>
                </c:pt>
                <c:pt idx="5">
                  <c:v>30339</c:v>
                </c:pt>
                <c:pt idx="6">
                  <c:v>37101</c:v>
                </c:pt>
                <c:pt idx="7">
                  <c:v>4430</c:v>
                </c:pt>
                <c:pt idx="8">
                  <c:v>24581</c:v>
                </c:pt>
              </c:numCache>
            </c:numRef>
          </c:val>
          <c:extLst>
            <c:ext xmlns:c16="http://schemas.microsoft.com/office/drawing/2014/chart" uri="{C3380CC4-5D6E-409C-BE32-E72D297353CC}">
              <c16:uniqueId val="{00000000-2551-48A9-9729-6CBBA3034E6C}"/>
            </c:ext>
          </c:extLst>
        </c:ser>
        <c:dLbls>
          <c:dLblPos val="outEnd"/>
          <c:showLegendKey val="0"/>
          <c:showVal val="1"/>
          <c:showCatName val="0"/>
          <c:showSerName val="0"/>
          <c:showPercent val="0"/>
          <c:showBubbleSize val="0"/>
        </c:dLbls>
        <c:gapWidth val="50"/>
        <c:overlap val="-27"/>
        <c:axId val="2069445487"/>
        <c:axId val="2083787279"/>
      </c:barChart>
      <c:catAx>
        <c:axId val="206944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787279"/>
        <c:crosses val="autoZero"/>
        <c:auto val="1"/>
        <c:lblAlgn val="ctr"/>
        <c:lblOffset val="100"/>
        <c:noMultiLvlLbl val="0"/>
      </c:catAx>
      <c:valAx>
        <c:axId val="2083787279"/>
        <c:scaling>
          <c:orientation val="minMax"/>
        </c:scaling>
        <c:delete val="1"/>
        <c:axPos val="l"/>
        <c:numFmt formatCode="_ [$₹-4009]\ * #,##0.00_ ;_ [$₹-4009]\ * \-#,##0.00_ ;_ [$₹-4009]\ * &quot;-&quot;??_ ;_ @_ " sourceLinked="1"/>
        <c:majorTickMark val="none"/>
        <c:minorTickMark val="none"/>
        <c:tickLblPos val="nextTo"/>
        <c:crossAx val="206944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1"/>
  </c:pivotSource>
  <c:chart>
    <c:autoTitleDeleted val="1"/>
    <c:pivotFmts>
      <c:pivotFmt>
        <c:idx val="0"/>
        <c:spPr>
          <a:ln w="31750" cap="rnd">
            <a:solidFill>
              <a:schemeClr val="accent1"/>
            </a:solidFill>
            <a:round/>
          </a:ln>
          <a:effectLst>
            <a:outerShdw dist="25400" dir="2700000" algn="tl" rotWithShape="0">
              <a:schemeClr val="accent1"/>
            </a:outerShdw>
          </a:effectLst>
        </c:spPr>
        <c:marker>
          <c:symbol val="diamond"/>
          <c:size val="8"/>
          <c:spPr>
            <a:noFill/>
            <a:ln w="25400">
              <a:solidFill>
                <a:schemeClr val="accent1"/>
              </a:solidFill>
              <a:round/>
            </a:ln>
            <a:effectLst/>
          </c:spPr>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14712744240303297"/>
          <c:w val="0.93888888888888888"/>
          <c:h val="0.3531353893263342"/>
        </c:manualLayout>
      </c:layout>
      <c:lineChart>
        <c:grouping val="standard"/>
        <c:varyColors val="0"/>
        <c:ser>
          <c:idx val="0"/>
          <c:order val="0"/>
          <c:tx>
            <c:strRef>
              <c:f>'pivot Table'!$J$3</c:f>
              <c:strCache>
                <c:ptCount val="1"/>
                <c:pt idx="0">
                  <c:v>Total</c:v>
                </c:pt>
              </c:strCache>
            </c:strRef>
          </c:tx>
          <c:spPr>
            <a:ln w="31750" cap="rnd">
              <a:solidFill>
                <a:schemeClr val="accent1"/>
              </a:solidFill>
              <a:round/>
            </a:ln>
            <a:effectLst>
              <a:outerShdw dist="25400" dir="2700000" algn="tl" rotWithShape="0">
                <a:schemeClr val="accent1"/>
              </a:outerShdw>
            </a:effectLst>
          </c:spPr>
          <c:marker>
            <c:symbol val="diamond"/>
            <c:size val="8"/>
            <c:spPr>
              <a:noFill/>
              <a:ln w="25400">
                <a:solidFill>
                  <a:schemeClr val="accent1"/>
                </a:solidFill>
                <a:round/>
              </a:ln>
              <a:effectLst/>
            </c:spPr>
          </c:marker>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Table'!$I$4:$I$12</c:f>
              <c:strCache>
                <c:ptCount val="8"/>
                <c:pt idx="0">
                  <c:v>Basmati Rice</c:v>
                </c:pt>
                <c:pt idx="1">
                  <c:v>Bedside Table</c:v>
                </c:pt>
                <c:pt idx="2">
                  <c:v>Biscuits</c:v>
                </c:pt>
                <c:pt idx="3">
                  <c:v>Conditioner</c:v>
                </c:pt>
                <c:pt idx="4">
                  <c:v>Cooking Oil</c:v>
                </c:pt>
                <c:pt idx="5">
                  <c:v>Cooking Spices</c:v>
                </c:pt>
                <c:pt idx="6">
                  <c:v>Dining Table</c:v>
                </c:pt>
                <c:pt idx="7">
                  <c:v>Dress</c:v>
                </c:pt>
              </c:strCache>
            </c:strRef>
          </c:cat>
          <c:val>
            <c:numRef>
              <c:f>'pivot Table'!$J$4:$J$12</c:f>
              <c:numCache>
                <c:formatCode>General</c:formatCode>
                <c:ptCount val="8"/>
                <c:pt idx="0">
                  <c:v>31910</c:v>
                </c:pt>
                <c:pt idx="1">
                  <c:v>7843</c:v>
                </c:pt>
                <c:pt idx="2">
                  <c:v>11891</c:v>
                </c:pt>
                <c:pt idx="3">
                  <c:v>5553</c:v>
                </c:pt>
                <c:pt idx="4">
                  <c:v>21217</c:v>
                </c:pt>
                <c:pt idx="5">
                  <c:v>12365</c:v>
                </c:pt>
                <c:pt idx="6">
                  <c:v>21444</c:v>
                </c:pt>
                <c:pt idx="7">
                  <c:v>25619</c:v>
                </c:pt>
              </c:numCache>
            </c:numRef>
          </c:val>
          <c:smooth val="1"/>
          <c:extLst>
            <c:ext xmlns:c16="http://schemas.microsoft.com/office/drawing/2014/chart" uri="{C3380CC4-5D6E-409C-BE32-E72D297353CC}">
              <c16:uniqueId val="{00000000-F15C-4886-B8F0-2BEBDFF1B0F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86101519"/>
        <c:axId val="1429065359"/>
      </c:lineChart>
      <c:catAx>
        <c:axId val="1886101519"/>
        <c:scaling>
          <c:orientation val="minMax"/>
        </c:scaling>
        <c:delete val="0"/>
        <c:axPos val="b"/>
        <c:numFmt formatCode="General" sourceLinked="1"/>
        <c:majorTickMark val="none"/>
        <c:minorTickMark val="none"/>
        <c:tickLblPos val="nextTo"/>
        <c:spPr>
          <a:solidFill>
            <a:schemeClr val="tx2">
              <a:lumMod val="75000"/>
              <a:lumOff val="25000"/>
            </a:schemeClr>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29065359"/>
        <c:crosses val="autoZero"/>
        <c:auto val="1"/>
        <c:lblAlgn val="ctr"/>
        <c:lblOffset val="100"/>
        <c:noMultiLvlLbl val="0"/>
      </c:catAx>
      <c:valAx>
        <c:axId val="142906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8610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7"/>
  </c:pivotSource>
  <c:chart>
    <c:autoTitleDeleted val="1"/>
    <c:pivotFmts>
      <c:pivotFmt>
        <c:idx val="0"/>
        <c:spPr>
          <a:pattFill prst="ltUpDiag">
            <a:fgClr>
              <a:schemeClr val="accent1"/>
            </a:fgClr>
            <a:bgClr>
              <a:schemeClr val="lt1"/>
            </a:bgClr>
          </a:pattFill>
          <a:ln w="31750" cap="rnd">
            <a:solidFill>
              <a:schemeClr val="accent1"/>
            </a:solidFill>
            <a:round/>
          </a:ln>
          <a:effectLst>
            <a:outerShdw dist="25400" dir="2700000" algn="tl" rotWithShape="0">
              <a:schemeClr val="accent1"/>
            </a:outerShdw>
          </a:effectLst>
        </c:spPr>
        <c:marker>
          <c:symbol val="diamond"/>
          <c:size val="8"/>
          <c:spPr>
            <a:noFill/>
            <a:ln w="25400">
              <a:solidFill>
                <a:schemeClr val="accent1"/>
              </a:solidFill>
              <a:round/>
            </a:ln>
            <a:effectLst/>
          </c:spPr>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1750" cap="rnd">
            <a:solidFill>
              <a:schemeClr val="accent1"/>
            </a:solidFill>
            <a:round/>
          </a:ln>
          <a:effectLst>
            <a:outerShdw dist="25400" dir="2700000" algn="tl" rotWithShape="0">
              <a:schemeClr val="accent1"/>
            </a:outerShdw>
          </a:effectLst>
        </c:spPr>
        <c:marker>
          <c:symbol val="diamond"/>
          <c:size val="8"/>
          <c:spPr>
            <a:noFill/>
            <a:ln w="25400">
              <a:solidFill>
                <a:schemeClr val="accent1"/>
              </a:solidFill>
              <a:round/>
            </a:ln>
            <a:effectLst/>
          </c:spPr>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dist="25400" dir="2700000" algn="tl" rotWithShape="0">
              <a:schemeClr val="accent1"/>
            </a:outerShdw>
          </a:effectLst>
        </c:spPr>
        <c:marker>
          <c:symbol val="diamond"/>
          <c:size val="8"/>
          <c:spPr>
            <a:noFill/>
            <a:ln w="25400">
              <a:solidFill>
                <a:schemeClr val="accent1"/>
              </a:solidFill>
              <a:round/>
            </a:ln>
            <a:effectLst/>
          </c:spPr>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14712744240303297"/>
          <c:w val="0.93888888888888888"/>
          <c:h val="0.3531353893263342"/>
        </c:manualLayout>
      </c:layout>
      <c:lineChart>
        <c:grouping val="standard"/>
        <c:varyColors val="0"/>
        <c:ser>
          <c:idx val="0"/>
          <c:order val="0"/>
          <c:tx>
            <c:strRef>
              <c:f>'pivot Table'!$J$3</c:f>
              <c:strCache>
                <c:ptCount val="1"/>
                <c:pt idx="0">
                  <c:v>Total</c:v>
                </c:pt>
              </c:strCache>
            </c:strRef>
          </c:tx>
          <c:spPr>
            <a:ln w="31750" cap="rnd">
              <a:solidFill>
                <a:schemeClr val="accent1"/>
              </a:solidFill>
              <a:round/>
            </a:ln>
            <a:effectLst>
              <a:outerShdw dist="25400" dir="2700000" algn="tl" rotWithShape="0">
                <a:schemeClr val="accent1"/>
              </a:outerShdw>
            </a:effectLst>
          </c:spPr>
          <c:marker>
            <c:symbol val="diamond"/>
            <c:size val="8"/>
            <c:spPr>
              <a:noFill/>
              <a:ln w="25400">
                <a:solidFill>
                  <a:schemeClr val="accent1"/>
                </a:solidFill>
                <a:round/>
              </a:ln>
              <a:effectLst/>
            </c:spPr>
          </c:marker>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Table'!$I$4:$I$12</c:f>
              <c:strCache>
                <c:ptCount val="8"/>
                <c:pt idx="0">
                  <c:v>Basmati Rice</c:v>
                </c:pt>
                <c:pt idx="1">
                  <c:v>Bedside Table</c:v>
                </c:pt>
                <c:pt idx="2">
                  <c:v>Biscuits</c:v>
                </c:pt>
                <c:pt idx="3">
                  <c:v>Conditioner</c:v>
                </c:pt>
                <c:pt idx="4">
                  <c:v>Cooking Oil</c:v>
                </c:pt>
                <c:pt idx="5">
                  <c:v>Cooking Spices</c:v>
                </c:pt>
                <c:pt idx="6">
                  <c:v>Dining Table</c:v>
                </c:pt>
                <c:pt idx="7">
                  <c:v>Dress</c:v>
                </c:pt>
              </c:strCache>
            </c:strRef>
          </c:cat>
          <c:val>
            <c:numRef>
              <c:f>'pivot Table'!$J$4:$J$12</c:f>
              <c:numCache>
                <c:formatCode>General</c:formatCode>
                <c:ptCount val="8"/>
                <c:pt idx="0">
                  <c:v>31910</c:v>
                </c:pt>
                <c:pt idx="1">
                  <c:v>7843</c:v>
                </c:pt>
                <c:pt idx="2">
                  <c:v>11891</c:v>
                </c:pt>
                <c:pt idx="3">
                  <c:v>5553</c:v>
                </c:pt>
                <c:pt idx="4">
                  <c:v>21217</c:v>
                </c:pt>
                <c:pt idx="5">
                  <c:v>12365</c:v>
                </c:pt>
                <c:pt idx="6">
                  <c:v>21444</c:v>
                </c:pt>
                <c:pt idx="7">
                  <c:v>25619</c:v>
                </c:pt>
              </c:numCache>
            </c:numRef>
          </c:val>
          <c:smooth val="1"/>
          <c:extLst>
            <c:ext xmlns:c16="http://schemas.microsoft.com/office/drawing/2014/chart" uri="{C3380CC4-5D6E-409C-BE32-E72D297353CC}">
              <c16:uniqueId val="{00000000-5657-4969-9200-B5AD3AC27A6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86101519"/>
        <c:axId val="1429065359"/>
      </c:lineChart>
      <c:catAx>
        <c:axId val="1886101519"/>
        <c:scaling>
          <c:orientation val="minMax"/>
        </c:scaling>
        <c:delete val="0"/>
        <c:axPos val="b"/>
        <c:numFmt formatCode="General" sourceLinked="1"/>
        <c:majorTickMark val="none"/>
        <c:minorTickMark val="none"/>
        <c:tickLblPos val="nextTo"/>
        <c:spPr>
          <a:solidFill>
            <a:schemeClr val="bg1">
              <a:lumMod val="95000"/>
            </a:schemeClr>
          </a:solidFill>
          <a:ln w="12700" cap="flat" cmpd="sng" algn="ctr">
            <a:solidFill>
              <a:schemeClr val="tx2">
                <a:lumMod val="75000"/>
                <a:lumOff val="25000"/>
              </a:schemeClr>
            </a:solidFill>
            <a:round/>
          </a:ln>
          <a:effectLst/>
        </c:spPr>
        <c:txPr>
          <a:bodyPr rot="-60000000" spcFirstLastPara="1" vertOverflow="ellipsis" vert="horz" wrap="square" anchor="ctr" anchorCtr="1"/>
          <a:lstStyle/>
          <a:p>
            <a:pPr>
              <a:defRPr sz="900" b="0" i="0" u="none" strike="noStrike" kern="1200" spc="100" baseline="0">
                <a:solidFill>
                  <a:schemeClr val="accent1">
                    <a:lumMod val="75000"/>
                  </a:schemeClr>
                </a:solidFill>
                <a:latin typeface="+mn-lt"/>
                <a:ea typeface="+mn-ea"/>
                <a:cs typeface="+mn-cs"/>
              </a:defRPr>
            </a:pPr>
            <a:endParaRPr lang="en-US"/>
          </a:p>
        </c:txPr>
        <c:crossAx val="1429065359"/>
        <c:crosses val="autoZero"/>
        <c:auto val="1"/>
        <c:lblAlgn val="ctr"/>
        <c:lblOffset val="100"/>
        <c:noMultiLvlLbl val="0"/>
      </c:catAx>
      <c:valAx>
        <c:axId val="142906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8610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916575754902466"/>
              <c:y val="-8.90414775350160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8580501238991234"/>
              <c:y val="-4.68639355447452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7193896668917261"/>
              <c:y val="-9.37278710894914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7471217582932061"/>
              <c:y val="-3.28047548813217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6916575754902466"/>
              <c:y val="-8.90414775350160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8580501238991234"/>
              <c:y val="-4.68639355447452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193896668917261"/>
              <c:y val="-9.37278710894914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7471217582932061"/>
              <c:y val="-3.28047548813217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147972031736253"/>
              <c:y val="-7.35774007630489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4369240292740399"/>
              <c:y val="-4.68637876451011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7193896668917261"/>
              <c:y val="-9.37278710894914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7471217582932061"/>
              <c:y val="-3.28047548813217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60864628853244"/>
          <c:y val="0.10145434309362933"/>
          <c:w val="0.41147353455818025"/>
          <c:h val="0.68578922426363376"/>
        </c:manualLayout>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6E-4118-A899-89BE4788F1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6E-4118-A899-89BE4788F1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6E-4118-A899-89BE4788F1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6E-4118-A899-89BE4788F1BF}"/>
              </c:ext>
            </c:extLst>
          </c:dPt>
          <c:dLbls>
            <c:dLbl>
              <c:idx val="0"/>
              <c:layout>
                <c:manualLayout>
                  <c:x val="0.30147972031736253"/>
                  <c:y val="-7.3577400763048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6E-4118-A899-89BE4788F1BF}"/>
                </c:ext>
              </c:extLst>
            </c:dLbl>
            <c:dLbl>
              <c:idx val="1"/>
              <c:layout>
                <c:manualLayout>
                  <c:x val="0.24369240292740399"/>
                  <c:y val="-4.6863787645101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6E-4118-A899-89BE4788F1BF}"/>
                </c:ext>
              </c:extLst>
            </c:dLbl>
            <c:dLbl>
              <c:idx val="2"/>
              <c:layout>
                <c:manualLayout>
                  <c:x val="-0.17193896668917261"/>
                  <c:y val="-9.37278710894914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6E-4118-A899-89BE4788F1BF}"/>
                </c:ext>
              </c:extLst>
            </c:dLbl>
            <c:dLbl>
              <c:idx val="3"/>
              <c:layout>
                <c:manualLayout>
                  <c:x val="-0.17471217582932061"/>
                  <c:y val="-3.2804754881321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6E-4118-A899-89BE4788F1B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_ [$₹-4009]\ * #,##0.00_ ;_ [$₹-4009]\ * \-#,##0.00_ ;_ [$₹-4009]\ * "-"??_ ;_ @_ </c:formatCode>
                <c:ptCount val="4"/>
                <c:pt idx="0">
                  <c:v>66965</c:v>
                </c:pt>
                <c:pt idx="1">
                  <c:v>34298</c:v>
                </c:pt>
                <c:pt idx="2">
                  <c:v>40622</c:v>
                </c:pt>
                <c:pt idx="3">
                  <c:v>57768</c:v>
                </c:pt>
              </c:numCache>
            </c:numRef>
          </c:val>
          <c:extLst>
            <c:ext xmlns:c16="http://schemas.microsoft.com/office/drawing/2014/chart" uri="{C3380CC4-5D6E-409C-BE32-E72D297353CC}">
              <c16:uniqueId val="{00000008-BB2C-4DCB-8630-891AD00D7EC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4249781277340332"/>
          <c:w val="0.93888888888888888"/>
          <c:h val="0.4238768591426072"/>
        </c:manualLayout>
      </c:layout>
      <c:barChart>
        <c:barDir val="col"/>
        <c:grouping val="clustered"/>
        <c:varyColors val="0"/>
        <c:ser>
          <c:idx val="0"/>
          <c:order val="0"/>
          <c:tx>
            <c:strRef>
              <c:f>'pivot Table'!$G$7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Table'!$F$8:$F$17</c:f>
              <c:strCache>
                <c:ptCount val="9"/>
                <c:pt idx="0">
                  <c:v>Aishwarya Kumar</c:v>
                </c:pt>
                <c:pt idx="1">
                  <c:v>Ashwin Raj</c:v>
                </c:pt>
                <c:pt idx="2">
                  <c:v>Bala Murugan</c:v>
                </c:pt>
                <c:pt idx="3">
                  <c:v>Bhavya Reddy</c:v>
                </c:pt>
                <c:pt idx="4">
                  <c:v>Chandru Kumar</c:v>
                </c:pt>
                <c:pt idx="5">
                  <c:v>Ezhil Kumar</c:v>
                </c:pt>
                <c:pt idx="6">
                  <c:v>Jeeva Raj</c:v>
                </c:pt>
                <c:pt idx="7">
                  <c:v>Surya Raj</c:v>
                </c:pt>
                <c:pt idx="8">
                  <c:v>Tejaswini Raj</c:v>
                </c:pt>
              </c:strCache>
            </c:strRef>
          </c:cat>
          <c:val>
            <c:numRef>
              <c:f>'pivot Table'!$G$8:$G$17</c:f>
              <c:numCache>
                <c:formatCode>_ [$₹-4009]\ * #,##0.00_ ;_ [$₹-4009]\ * \-#,##0.00_ ;_ [$₹-4009]\ * "-"??_ ;_ @_ </c:formatCode>
                <c:ptCount val="9"/>
                <c:pt idx="0">
                  <c:v>6056</c:v>
                </c:pt>
                <c:pt idx="1">
                  <c:v>36192</c:v>
                </c:pt>
                <c:pt idx="2">
                  <c:v>42384</c:v>
                </c:pt>
                <c:pt idx="3">
                  <c:v>14611</c:v>
                </c:pt>
                <c:pt idx="4">
                  <c:v>3959</c:v>
                </c:pt>
                <c:pt idx="5">
                  <c:v>30339</c:v>
                </c:pt>
                <c:pt idx="6">
                  <c:v>37101</c:v>
                </c:pt>
                <c:pt idx="7">
                  <c:v>4430</c:v>
                </c:pt>
                <c:pt idx="8">
                  <c:v>24581</c:v>
                </c:pt>
              </c:numCache>
            </c:numRef>
          </c:val>
          <c:extLst>
            <c:ext xmlns:c16="http://schemas.microsoft.com/office/drawing/2014/chart" uri="{C3380CC4-5D6E-409C-BE32-E72D297353CC}">
              <c16:uniqueId val="{00000000-2EDC-4B3B-9AB1-C5B8800A6E41}"/>
            </c:ext>
          </c:extLst>
        </c:ser>
        <c:dLbls>
          <c:dLblPos val="outEnd"/>
          <c:showLegendKey val="0"/>
          <c:showVal val="1"/>
          <c:showCatName val="0"/>
          <c:showSerName val="0"/>
          <c:showPercent val="0"/>
          <c:showBubbleSize val="0"/>
        </c:dLbls>
        <c:gapWidth val="50"/>
        <c:overlap val="-27"/>
        <c:axId val="2069445487"/>
        <c:axId val="2083787279"/>
      </c:barChart>
      <c:catAx>
        <c:axId val="206944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787279"/>
        <c:crosses val="autoZero"/>
        <c:auto val="1"/>
        <c:lblAlgn val="ctr"/>
        <c:lblOffset val="100"/>
        <c:noMultiLvlLbl val="0"/>
      </c:catAx>
      <c:valAx>
        <c:axId val="2083787279"/>
        <c:scaling>
          <c:orientation val="minMax"/>
        </c:scaling>
        <c:delete val="1"/>
        <c:axPos val="l"/>
        <c:numFmt formatCode="_ [$₹-4009]\ * #,##0.00_ ;_ [$₹-4009]\ * \-#,##0.00_ ;_ [$₹-4009]\ * &quot;-&quot;??_ ;_ @_ " sourceLinked="1"/>
        <c:majorTickMark val="none"/>
        <c:minorTickMark val="none"/>
        <c:tickLblPos val="nextTo"/>
        <c:crossAx val="206944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21137154400245"/>
          <c:y val="0.12797126544113147"/>
          <c:w val="0.6925866050404208"/>
          <c:h val="0.83176027392699614"/>
        </c:manualLayout>
      </c:layout>
      <c:barChart>
        <c:barDir val="bar"/>
        <c:grouping val="clustered"/>
        <c:varyColors val="0"/>
        <c:ser>
          <c:idx val="0"/>
          <c:order val="0"/>
          <c:tx>
            <c:strRef>
              <c:f>'pivot Table'!$D$7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Table'!$C$8:$C$16</c:f>
              <c:strCache>
                <c:ptCount val="8"/>
                <c:pt idx="0">
                  <c:v>Basmati Rice</c:v>
                </c:pt>
                <c:pt idx="1">
                  <c:v>Bedside Table</c:v>
                </c:pt>
                <c:pt idx="2">
                  <c:v>Biscuits</c:v>
                </c:pt>
                <c:pt idx="3">
                  <c:v>Conditioner</c:v>
                </c:pt>
                <c:pt idx="4">
                  <c:v>Cooking Oil</c:v>
                </c:pt>
                <c:pt idx="5">
                  <c:v>Cooking Spices</c:v>
                </c:pt>
                <c:pt idx="6">
                  <c:v>Dining Table</c:v>
                </c:pt>
                <c:pt idx="7">
                  <c:v>Dress</c:v>
                </c:pt>
              </c:strCache>
            </c:strRef>
          </c:cat>
          <c:val>
            <c:numRef>
              <c:f>'pivot Table'!$D$8:$D$16</c:f>
              <c:numCache>
                <c:formatCode>_ [$₹-4009]\ * #,##0.00_ ;_ [$₹-4009]\ * \-#,##0.00_ ;_ [$₹-4009]\ * "-"??_ ;_ @_ </c:formatCode>
                <c:ptCount val="8"/>
                <c:pt idx="0">
                  <c:v>60773</c:v>
                </c:pt>
                <c:pt idx="1">
                  <c:v>30339</c:v>
                </c:pt>
                <c:pt idx="2">
                  <c:v>42384</c:v>
                </c:pt>
                <c:pt idx="3">
                  <c:v>3959</c:v>
                </c:pt>
                <c:pt idx="4">
                  <c:v>6056</c:v>
                </c:pt>
                <c:pt idx="5">
                  <c:v>37101</c:v>
                </c:pt>
                <c:pt idx="6">
                  <c:v>14611</c:v>
                </c:pt>
                <c:pt idx="7">
                  <c:v>4430</c:v>
                </c:pt>
              </c:numCache>
            </c:numRef>
          </c:val>
          <c:extLst>
            <c:ext xmlns:c16="http://schemas.microsoft.com/office/drawing/2014/chart" uri="{C3380CC4-5D6E-409C-BE32-E72D297353CC}">
              <c16:uniqueId val="{00000000-E2F7-43BA-9B95-8883A8BBCF4D}"/>
            </c:ext>
          </c:extLst>
        </c:ser>
        <c:dLbls>
          <c:dLblPos val="outEnd"/>
          <c:showLegendKey val="0"/>
          <c:showVal val="1"/>
          <c:showCatName val="0"/>
          <c:showSerName val="0"/>
          <c:showPercent val="0"/>
          <c:showBubbleSize val="0"/>
        </c:dLbls>
        <c:gapWidth val="35"/>
        <c:axId val="1423961807"/>
        <c:axId val="1429092239"/>
      </c:barChart>
      <c:catAx>
        <c:axId val="142396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092239"/>
        <c:crosses val="autoZero"/>
        <c:auto val="1"/>
        <c:lblAlgn val="ctr"/>
        <c:lblOffset val="100"/>
        <c:noMultiLvlLbl val="0"/>
      </c:catAx>
      <c:valAx>
        <c:axId val="1429092239"/>
        <c:scaling>
          <c:orientation val="minMax"/>
        </c:scaling>
        <c:delete val="1"/>
        <c:axPos val="b"/>
        <c:numFmt formatCode="_ [$₹-4009]\ * #,##0.00_ ;_ [$₹-4009]\ * \-#,##0.00_ ;_ [$₹-4009]\ * &quot;-&quot;??_ ;_ @_ " sourceLinked="1"/>
        <c:majorTickMark val="none"/>
        <c:minorTickMark val="none"/>
        <c:tickLblPos val="nextTo"/>
        <c:crossAx val="142396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200689</xdr:colOff>
      <xdr:row>2</xdr:row>
      <xdr:rowOff>101784</xdr:rowOff>
    </xdr:from>
    <xdr:to>
      <xdr:col>17</xdr:col>
      <xdr:colOff>272459</xdr:colOff>
      <xdr:row>16</xdr:row>
      <xdr:rowOff>175769</xdr:rowOff>
    </xdr:to>
    <xdr:graphicFrame macro="">
      <xdr:nvGraphicFramePr>
        <xdr:cNvPr id="2" name="Chart 1">
          <a:extLst>
            <a:ext uri="{FF2B5EF4-FFF2-40B4-BE49-F238E27FC236}">
              <a16:creationId xmlns:a16="http://schemas.microsoft.com/office/drawing/2014/main" id="{49DF93A2-5A10-D77E-D013-72D820FFA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233693</xdr:colOff>
      <xdr:row>18</xdr:row>
      <xdr:rowOff>162366</xdr:rowOff>
    </xdr:from>
    <xdr:to>
      <xdr:col>26</xdr:col>
      <xdr:colOff>377229</xdr:colOff>
      <xdr:row>37</xdr:row>
      <xdr:rowOff>160322</xdr:rowOff>
    </xdr:to>
    <xdr:graphicFrame macro="">
      <xdr:nvGraphicFramePr>
        <xdr:cNvPr id="3" name="Chart 2">
          <a:extLst>
            <a:ext uri="{FF2B5EF4-FFF2-40B4-BE49-F238E27FC236}">
              <a16:creationId xmlns:a16="http://schemas.microsoft.com/office/drawing/2014/main" id="{50E8B802-AE4E-FA12-7941-E74BA6EA8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396352</xdr:colOff>
      <xdr:row>2</xdr:row>
      <xdr:rowOff>152346</xdr:rowOff>
    </xdr:from>
    <xdr:to>
      <xdr:col>29</xdr:col>
      <xdr:colOff>273488</xdr:colOff>
      <xdr:row>17</xdr:row>
      <xdr:rowOff>65092</xdr:rowOff>
    </xdr:to>
    <xdr:graphicFrame macro="">
      <xdr:nvGraphicFramePr>
        <xdr:cNvPr id="4" name="Chart 3">
          <a:extLst>
            <a:ext uri="{FF2B5EF4-FFF2-40B4-BE49-F238E27FC236}">
              <a16:creationId xmlns:a16="http://schemas.microsoft.com/office/drawing/2014/main" id="{AD92DBAD-6360-39C3-02B5-537FAF30A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1013952</xdr:colOff>
      <xdr:row>23</xdr:row>
      <xdr:rowOff>18741</xdr:rowOff>
    </xdr:from>
    <xdr:to>
      <xdr:col>10</xdr:col>
      <xdr:colOff>30725</xdr:colOff>
      <xdr:row>40</xdr:row>
      <xdr:rowOff>107539</xdr:rowOff>
    </xdr:to>
    <xdr:graphicFrame macro="">
      <xdr:nvGraphicFramePr>
        <xdr:cNvPr id="5" name="Chart 4">
          <a:extLst>
            <a:ext uri="{FF2B5EF4-FFF2-40B4-BE49-F238E27FC236}">
              <a16:creationId xmlns:a16="http://schemas.microsoft.com/office/drawing/2014/main" id="{EB98A65B-2A96-124F-C7B0-95DF2E678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235123</xdr:colOff>
      <xdr:row>14</xdr:row>
      <xdr:rowOff>80115</xdr:rowOff>
    </xdr:from>
    <xdr:to>
      <xdr:col>9</xdr:col>
      <xdr:colOff>480210</xdr:colOff>
      <xdr:row>21</xdr:row>
      <xdr:rowOff>65239</xdr:rowOff>
    </xdr:to>
    <mc:AlternateContent xmlns:mc="http://schemas.openxmlformats.org/markup-compatibility/2006" xmlns:a14="http://schemas.microsoft.com/office/drawing/2010/main">
      <mc:Choice Requires="a14">
        <xdr:graphicFrame macro="">
          <xdr:nvGraphicFramePr>
            <xdr:cNvPr id="6" name="Customer">
              <a:extLst>
                <a:ext uri="{FF2B5EF4-FFF2-40B4-BE49-F238E27FC236}">
                  <a16:creationId xmlns:a16="http://schemas.microsoft.com/office/drawing/2014/main" id="{EC002FBF-5804-8BA3-B6E0-179CB6F6F690}"/>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6969858" y="2747115"/>
              <a:ext cx="1813911" cy="1318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98121</xdr:colOff>
      <xdr:row>0</xdr:row>
      <xdr:rowOff>138830</xdr:rowOff>
    </xdr:from>
    <xdr:to>
      <xdr:col>6</xdr:col>
      <xdr:colOff>204592</xdr:colOff>
      <xdr:row>4</xdr:row>
      <xdr:rowOff>91335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24ED528-9B47-F214-1C01-4517486BB0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44297" y="138830"/>
              <a:ext cx="1820971" cy="714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27921</xdr:rowOff>
    </xdr:from>
    <xdr:to>
      <xdr:col>2</xdr:col>
      <xdr:colOff>56429</xdr:colOff>
      <xdr:row>22</xdr:row>
      <xdr:rowOff>150572</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93E4950B-06E5-7731-6251-1D22BBB51E3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1742421"/>
              <a:ext cx="1826958" cy="2599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116417</xdr:colOff>
      <xdr:row>0</xdr:row>
      <xdr:rowOff>47624</xdr:rowOff>
    </xdr:from>
    <xdr:to>
      <xdr:col>25</xdr:col>
      <xdr:colOff>0</xdr:colOff>
      <xdr:row>5</xdr:row>
      <xdr:rowOff>9524</xdr:rowOff>
    </xdr:to>
    <xdr:sp macro="" textlink="">
      <xdr:nvSpPr>
        <xdr:cNvPr id="2" name="Rectangle: Rounded Corners 1">
          <a:extLst>
            <a:ext uri="{FF2B5EF4-FFF2-40B4-BE49-F238E27FC236}">
              <a16:creationId xmlns:a16="http://schemas.microsoft.com/office/drawing/2014/main" id="{A1704E2E-A551-BB04-9816-5981BB7A66D9}"/>
            </a:ext>
          </a:extLst>
        </xdr:cNvPr>
        <xdr:cNvSpPr/>
      </xdr:nvSpPr>
      <xdr:spPr>
        <a:xfrm>
          <a:off x="116417" y="47624"/>
          <a:ext cx="15246486" cy="8836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o</a:t>
          </a:r>
        </a:p>
      </xdr:txBody>
    </xdr:sp>
    <xdr:clientData/>
  </xdr:twoCellAnchor>
  <xdr:twoCellAnchor>
    <xdr:from>
      <xdr:col>0</xdr:col>
      <xdr:colOff>126999</xdr:colOff>
      <xdr:row>5</xdr:row>
      <xdr:rowOff>169334</xdr:rowOff>
    </xdr:from>
    <xdr:to>
      <xdr:col>4</xdr:col>
      <xdr:colOff>31750</xdr:colOff>
      <xdr:row>11</xdr:row>
      <xdr:rowOff>169335</xdr:rowOff>
    </xdr:to>
    <xdr:grpSp>
      <xdr:nvGrpSpPr>
        <xdr:cNvPr id="14" name="Group 13">
          <a:extLst>
            <a:ext uri="{FF2B5EF4-FFF2-40B4-BE49-F238E27FC236}">
              <a16:creationId xmlns:a16="http://schemas.microsoft.com/office/drawing/2014/main" id="{0E3C015A-593B-498C-21F8-EAFB99A05997}"/>
            </a:ext>
          </a:extLst>
        </xdr:cNvPr>
        <xdr:cNvGrpSpPr/>
      </xdr:nvGrpSpPr>
      <xdr:grpSpPr>
        <a:xfrm>
          <a:off x="126999" y="1146257"/>
          <a:ext cx="2347059" cy="1172309"/>
          <a:chOff x="126999" y="1174750"/>
          <a:chExt cx="2360084" cy="1143001"/>
        </a:xfrm>
      </xdr:grpSpPr>
      <xdr:sp macro="" textlink="">
        <xdr:nvSpPr>
          <xdr:cNvPr id="5" name="Rectangle: Rounded Corners 4">
            <a:extLst>
              <a:ext uri="{FF2B5EF4-FFF2-40B4-BE49-F238E27FC236}">
                <a16:creationId xmlns:a16="http://schemas.microsoft.com/office/drawing/2014/main" id="{4A363734-671A-5861-4E30-6B21EE8128EA}"/>
              </a:ext>
            </a:extLst>
          </xdr:cNvPr>
          <xdr:cNvSpPr/>
        </xdr:nvSpPr>
        <xdr:spPr>
          <a:xfrm>
            <a:off x="126999" y="1185334"/>
            <a:ext cx="2360084" cy="113241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7" name="Rectangle: Rounded Corners 6">
            <a:extLst>
              <a:ext uri="{FF2B5EF4-FFF2-40B4-BE49-F238E27FC236}">
                <a16:creationId xmlns:a16="http://schemas.microsoft.com/office/drawing/2014/main" id="{CE1DFCE5-9D44-4F54-A2D3-6126FA2061A5}"/>
              </a:ext>
            </a:extLst>
          </xdr:cNvPr>
          <xdr:cNvSpPr/>
        </xdr:nvSpPr>
        <xdr:spPr>
          <a:xfrm>
            <a:off x="137583" y="1174750"/>
            <a:ext cx="825501" cy="1132417"/>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69D55CDA-48BB-F7B5-A707-AF82DBCEABEB}"/>
              </a:ext>
            </a:extLst>
          </xdr:cNvPr>
          <xdr:cNvSpPr txBox="1"/>
        </xdr:nvSpPr>
        <xdr:spPr>
          <a:xfrm>
            <a:off x="1100667" y="1248833"/>
            <a:ext cx="124883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accent1"/>
                </a:solidFill>
                <a:latin typeface="Times New Roman" panose="02020603050405020304" pitchFamily="18" charset="0"/>
                <a:cs typeface="Times New Roman" panose="02020603050405020304" pitchFamily="18" charset="0"/>
              </a:rPr>
              <a:t>Total</a:t>
            </a:r>
            <a:r>
              <a:rPr lang="en-IN" sz="1400" b="1" baseline="0">
                <a:solidFill>
                  <a:schemeClr val="accent1"/>
                </a:solidFill>
                <a:latin typeface="Times New Roman" panose="02020603050405020304" pitchFamily="18" charset="0"/>
                <a:cs typeface="Times New Roman" panose="02020603050405020304" pitchFamily="18" charset="0"/>
              </a:rPr>
              <a:t> Sales</a:t>
            </a:r>
            <a:endParaRPr lang="en-IN" sz="1400" b="1">
              <a:solidFill>
                <a:schemeClr val="accent1"/>
              </a:solidFill>
              <a:latin typeface="Times New Roman" panose="02020603050405020304" pitchFamily="18" charset="0"/>
              <a:cs typeface="Times New Roman" panose="02020603050405020304" pitchFamily="18" charset="0"/>
            </a:endParaRPr>
          </a:p>
        </xdr:txBody>
      </xdr:sp>
      <xdr:sp macro="" textlink="'E-Commerce sales'!M3">
        <xdr:nvSpPr>
          <xdr:cNvPr id="12" name="TextBox 11">
            <a:extLst>
              <a:ext uri="{FF2B5EF4-FFF2-40B4-BE49-F238E27FC236}">
                <a16:creationId xmlns:a16="http://schemas.microsoft.com/office/drawing/2014/main" id="{DD8EFF24-32E9-60B7-AB37-548D47A2B23E}"/>
              </a:ext>
            </a:extLst>
          </xdr:cNvPr>
          <xdr:cNvSpPr txBox="1"/>
        </xdr:nvSpPr>
        <xdr:spPr>
          <a:xfrm>
            <a:off x="1068918" y="1651001"/>
            <a:ext cx="1397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7F6E0E9-0331-4FE1-BC32-8B56FD2B1A02}" type="TxLink">
              <a:rPr lang="en-US" sz="1400" b="1" i="0" u="none" strike="noStrike">
                <a:solidFill>
                  <a:schemeClr val="accent1">
                    <a:lumMod val="75000"/>
                  </a:schemeClr>
                </a:solidFill>
                <a:latin typeface="Times New Roman" panose="02020603050405020304" pitchFamily="18" charset="0"/>
                <a:cs typeface="Times New Roman" panose="02020603050405020304" pitchFamily="18" charset="0"/>
              </a:rPr>
              <a:pPr/>
              <a:t> ₹ 25,73,740.00 </a:t>
            </a:fld>
            <a:endParaRPr lang="en-IN" sz="1400" b="1">
              <a:solidFill>
                <a:schemeClr val="accent1">
                  <a:lumMod val="75000"/>
                </a:schemeClr>
              </a:solidFill>
              <a:latin typeface="Times New Roman" panose="02020603050405020304" pitchFamily="18" charset="0"/>
              <a:cs typeface="Times New Roman" panose="02020603050405020304" pitchFamily="18" charset="0"/>
            </a:endParaRPr>
          </a:p>
        </xdr:txBody>
      </xdr:sp>
    </xdr:grpSp>
    <xdr:clientData/>
  </xdr:twoCellAnchor>
  <xdr:twoCellAnchor>
    <xdr:from>
      <xdr:col>4</xdr:col>
      <xdr:colOff>275167</xdr:colOff>
      <xdr:row>6</xdr:row>
      <xdr:rowOff>0</xdr:rowOff>
    </xdr:from>
    <xdr:to>
      <xdr:col>8</xdr:col>
      <xdr:colOff>211669</xdr:colOff>
      <xdr:row>12</xdr:row>
      <xdr:rowOff>1</xdr:rowOff>
    </xdr:to>
    <xdr:grpSp>
      <xdr:nvGrpSpPr>
        <xdr:cNvPr id="15" name="Group 14">
          <a:extLst>
            <a:ext uri="{FF2B5EF4-FFF2-40B4-BE49-F238E27FC236}">
              <a16:creationId xmlns:a16="http://schemas.microsoft.com/office/drawing/2014/main" id="{83CCA382-3782-464F-AE98-6AD8148AF0B9}"/>
            </a:ext>
          </a:extLst>
        </xdr:cNvPr>
        <xdr:cNvGrpSpPr/>
      </xdr:nvGrpSpPr>
      <xdr:grpSpPr>
        <a:xfrm>
          <a:off x="2717475" y="1172308"/>
          <a:ext cx="2378809" cy="1172308"/>
          <a:chOff x="137582" y="1174750"/>
          <a:chExt cx="2391836" cy="1143001"/>
        </a:xfrm>
      </xdr:grpSpPr>
      <xdr:sp macro="" textlink="">
        <xdr:nvSpPr>
          <xdr:cNvPr id="16" name="Rectangle: Rounded Corners 15">
            <a:extLst>
              <a:ext uri="{FF2B5EF4-FFF2-40B4-BE49-F238E27FC236}">
                <a16:creationId xmlns:a16="http://schemas.microsoft.com/office/drawing/2014/main" id="{0D4AD71C-DB0E-DC2C-5DAF-9E19650F481B}"/>
              </a:ext>
            </a:extLst>
          </xdr:cNvPr>
          <xdr:cNvSpPr/>
        </xdr:nvSpPr>
        <xdr:spPr>
          <a:xfrm>
            <a:off x="137582" y="1185334"/>
            <a:ext cx="2360084" cy="113241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17" name="Rectangle: Rounded Corners 16">
            <a:extLst>
              <a:ext uri="{FF2B5EF4-FFF2-40B4-BE49-F238E27FC236}">
                <a16:creationId xmlns:a16="http://schemas.microsoft.com/office/drawing/2014/main" id="{54096D17-E352-43B5-ABB5-709B286BD482}"/>
              </a:ext>
            </a:extLst>
          </xdr:cNvPr>
          <xdr:cNvSpPr/>
        </xdr:nvSpPr>
        <xdr:spPr>
          <a:xfrm>
            <a:off x="137583" y="1174750"/>
            <a:ext cx="825501" cy="1132417"/>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9F11725C-241D-C9E8-7D1A-1EA97E2B172C}"/>
              </a:ext>
            </a:extLst>
          </xdr:cNvPr>
          <xdr:cNvSpPr txBox="1"/>
        </xdr:nvSpPr>
        <xdr:spPr>
          <a:xfrm>
            <a:off x="1100667" y="1248833"/>
            <a:ext cx="124883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accent1"/>
                </a:solidFill>
                <a:latin typeface="Times New Roman" panose="02020603050405020304" pitchFamily="18" charset="0"/>
                <a:cs typeface="Times New Roman" panose="02020603050405020304" pitchFamily="18" charset="0"/>
              </a:rPr>
              <a:t>Profit</a:t>
            </a:r>
          </a:p>
        </xdr:txBody>
      </xdr:sp>
      <xdr:sp macro="" textlink="'E-Commerce sales'!M7">
        <xdr:nvSpPr>
          <xdr:cNvPr id="19" name="TextBox 18">
            <a:extLst>
              <a:ext uri="{FF2B5EF4-FFF2-40B4-BE49-F238E27FC236}">
                <a16:creationId xmlns:a16="http://schemas.microsoft.com/office/drawing/2014/main" id="{E9969584-BA5B-7DD8-F086-7F09640C4982}"/>
              </a:ext>
            </a:extLst>
          </xdr:cNvPr>
          <xdr:cNvSpPr txBox="1"/>
        </xdr:nvSpPr>
        <xdr:spPr>
          <a:xfrm>
            <a:off x="1132418" y="1682751"/>
            <a:ext cx="1397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394B423-C0AF-4208-B573-8DA3EFDC48BA}" type="TxLink">
              <a:rPr lang="en-US" sz="1400" b="1" i="0" u="none" strike="noStrike">
                <a:solidFill>
                  <a:schemeClr val="accent1">
                    <a:lumMod val="75000"/>
                  </a:schemeClr>
                </a:solidFill>
                <a:latin typeface="Times New Roman" panose="02020603050405020304" pitchFamily="18" charset="0"/>
                <a:cs typeface="Times New Roman" panose="02020603050405020304" pitchFamily="18" charset="0"/>
              </a:rPr>
              <a:pPr/>
              <a:t>1581083</a:t>
            </a:fld>
            <a:endParaRPr lang="en-IN" sz="1400" b="1" i="0" u="none" strike="noStrike">
              <a:solidFill>
                <a:schemeClr val="accent1">
                  <a:lumMod val="75000"/>
                </a:schemeClr>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4</xdr:col>
      <xdr:colOff>391583</xdr:colOff>
      <xdr:row>6</xdr:row>
      <xdr:rowOff>158749</xdr:rowOff>
    </xdr:from>
    <xdr:to>
      <xdr:col>5</xdr:col>
      <xdr:colOff>402166</xdr:colOff>
      <xdr:row>10</xdr:row>
      <xdr:rowOff>35984</xdr:rowOff>
    </xdr:to>
    <xdr:pic>
      <xdr:nvPicPr>
        <xdr:cNvPr id="26" name="Graphic 25" descr="Money with solid fill">
          <a:extLst>
            <a:ext uri="{FF2B5EF4-FFF2-40B4-BE49-F238E27FC236}">
              <a16:creationId xmlns:a16="http://schemas.microsoft.com/office/drawing/2014/main" id="{2F89BD2A-389E-5988-C793-1D1502E533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46916" y="1301749"/>
          <a:ext cx="624417" cy="639235"/>
        </a:xfrm>
        <a:prstGeom prst="rect">
          <a:avLst/>
        </a:prstGeom>
      </xdr:spPr>
    </xdr:pic>
    <xdr:clientData/>
  </xdr:twoCellAnchor>
  <xdr:twoCellAnchor editAs="oneCell">
    <xdr:from>
      <xdr:col>0</xdr:col>
      <xdr:colOff>232835</xdr:colOff>
      <xdr:row>7</xdr:row>
      <xdr:rowOff>95250</xdr:rowOff>
    </xdr:from>
    <xdr:to>
      <xdr:col>1</xdr:col>
      <xdr:colOff>222252</xdr:colOff>
      <xdr:row>10</xdr:row>
      <xdr:rowOff>67732</xdr:rowOff>
    </xdr:to>
    <xdr:pic>
      <xdr:nvPicPr>
        <xdr:cNvPr id="30" name="Graphic 29" descr="Rupee with solid fill">
          <a:extLst>
            <a:ext uri="{FF2B5EF4-FFF2-40B4-BE49-F238E27FC236}">
              <a16:creationId xmlns:a16="http://schemas.microsoft.com/office/drawing/2014/main" id="{95BFE4A1-3639-DC8C-7DD2-66874A42D2A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2835" y="1428750"/>
          <a:ext cx="603250" cy="543982"/>
        </a:xfrm>
        <a:prstGeom prst="rect">
          <a:avLst/>
        </a:prstGeom>
      </xdr:spPr>
    </xdr:pic>
    <xdr:clientData/>
  </xdr:twoCellAnchor>
  <xdr:oneCellAnchor>
    <xdr:from>
      <xdr:col>8</xdr:col>
      <xdr:colOff>409796</xdr:colOff>
      <xdr:row>1</xdr:row>
      <xdr:rowOff>16815</xdr:rowOff>
    </xdr:from>
    <xdr:ext cx="4496686" cy="387222"/>
    <xdr:sp macro="" textlink="">
      <xdr:nvSpPr>
        <xdr:cNvPr id="31" name="TextBox 30">
          <a:extLst>
            <a:ext uri="{FF2B5EF4-FFF2-40B4-BE49-F238E27FC236}">
              <a16:creationId xmlns:a16="http://schemas.microsoft.com/office/drawing/2014/main" id="{17658C18-9D5B-183B-A0FC-8FAE785B8FDC}"/>
            </a:ext>
          </a:extLst>
        </xdr:cNvPr>
        <xdr:cNvSpPr txBox="1"/>
      </xdr:nvSpPr>
      <xdr:spPr>
        <a:xfrm>
          <a:off x="5283052" y="205100"/>
          <a:ext cx="4496686"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a:solidFill>
                <a:schemeClr val="accent1">
                  <a:lumMod val="75000"/>
                </a:schemeClr>
              </a:solidFill>
              <a:latin typeface="Times New Roman" panose="02020603050405020304" pitchFamily="18" charset="0"/>
              <a:cs typeface="Times New Roman" panose="02020603050405020304" pitchFamily="18" charset="0"/>
            </a:rPr>
            <a:t>E-Commerce Sales</a:t>
          </a:r>
        </a:p>
      </xdr:txBody>
    </xdr:sp>
    <xdr:clientData/>
  </xdr:oneCellAnchor>
  <xdr:twoCellAnchor editAs="oneCell">
    <xdr:from>
      <xdr:col>7</xdr:col>
      <xdr:colOff>155059</xdr:colOff>
      <xdr:row>0</xdr:row>
      <xdr:rowOff>0</xdr:rowOff>
    </xdr:from>
    <xdr:to>
      <xdr:col>8</xdr:col>
      <xdr:colOff>460302</xdr:colOff>
      <xdr:row>4</xdr:row>
      <xdr:rowOff>161260</xdr:rowOff>
    </xdr:to>
    <xdr:pic>
      <xdr:nvPicPr>
        <xdr:cNvPr id="33" name="Graphic 32" descr="Continuous Improvement with solid fill">
          <a:extLst>
            <a:ext uri="{FF2B5EF4-FFF2-40B4-BE49-F238E27FC236}">
              <a16:creationId xmlns:a16="http://schemas.microsoft.com/office/drawing/2014/main" id="{36DF0D67-7215-A3C4-9C78-C2E52D2301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19158" y="0"/>
          <a:ext cx="914400" cy="914400"/>
        </a:xfrm>
        <a:prstGeom prst="rect">
          <a:avLst/>
        </a:prstGeom>
      </xdr:spPr>
    </xdr:pic>
    <xdr:clientData/>
  </xdr:twoCellAnchor>
  <xdr:twoCellAnchor editAs="oneCell">
    <xdr:from>
      <xdr:col>9</xdr:col>
      <xdr:colOff>44301</xdr:colOff>
      <xdr:row>6</xdr:row>
      <xdr:rowOff>11076</xdr:rowOff>
    </xdr:from>
    <xdr:to>
      <xdr:col>13</xdr:col>
      <xdr:colOff>22151</xdr:colOff>
      <xdr:row>10</xdr:row>
      <xdr:rowOff>11075</xdr:rowOff>
    </xdr:to>
    <mc:AlternateContent xmlns:mc="http://schemas.openxmlformats.org/markup-compatibility/2006" xmlns:a14="http://schemas.microsoft.com/office/drawing/2010/main">
      <mc:Choice Requires="a14">
        <xdr:graphicFrame macro="">
          <xdr:nvGraphicFramePr>
            <xdr:cNvPr id="34" name="Region 1">
              <a:extLst>
                <a:ext uri="{FF2B5EF4-FFF2-40B4-BE49-F238E27FC236}">
                  <a16:creationId xmlns:a16="http://schemas.microsoft.com/office/drawing/2014/main" id="{2119CB48-1143-4770-89F2-EA16DA512A5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539493" y="1183384"/>
              <a:ext cx="2420158" cy="781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192827</xdr:colOff>
      <xdr:row>13</xdr:row>
      <xdr:rowOff>23287</xdr:rowOff>
    </xdr:from>
    <xdr:to>
      <xdr:col>4</xdr:col>
      <xdr:colOff>25274</xdr:colOff>
      <xdr:row>31</xdr:row>
      <xdr:rowOff>145119</xdr:rowOff>
    </xdr:to>
    <mc:AlternateContent xmlns:mc="http://schemas.openxmlformats.org/markup-compatibility/2006" xmlns:a14="http://schemas.microsoft.com/office/drawing/2010/main">
      <mc:Choice Requires="a14">
        <xdr:graphicFrame macro="">
          <xdr:nvGraphicFramePr>
            <xdr:cNvPr id="36" name="Product 1">
              <a:extLst>
                <a:ext uri="{FF2B5EF4-FFF2-40B4-BE49-F238E27FC236}">
                  <a16:creationId xmlns:a16="http://schemas.microsoft.com/office/drawing/2014/main" id="{1CC95893-9CBB-4CE7-BD74-43750BF9DE1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92827" y="2563287"/>
              <a:ext cx="2274755" cy="3638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132907</xdr:colOff>
      <xdr:row>32</xdr:row>
      <xdr:rowOff>44302</xdr:rowOff>
    </xdr:from>
    <xdr:to>
      <xdr:col>3</xdr:col>
      <xdr:colOff>587006</xdr:colOff>
      <xdr:row>55</xdr:row>
      <xdr:rowOff>48846</xdr:rowOff>
    </xdr:to>
    <mc:AlternateContent xmlns:mc="http://schemas.openxmlformats.org/markup-compatibility/2006" xmlns:a14="http://schemas.microsoft.com/office/drawing/2010/main">
      <mc:Choice Requires="a14">
        <xdr:graphicFrame macro="">
          <xdr:nvGraphicFramePr>
            <xdr:cNvPr id="37" name="Customer 1">
              <a:extLst>
                <a:ext uri="{FF2B5EF4-FFF2-40B4-BE49-F238E27FC236}">
                  <a16:creationId xmlns:a16="http://schemas.microsoft.com/office/drawing/2014/main" id="{71F0067A-F711-4FD2-95D5-1242B84C7A75}"/>
                </a:ext>
              </a:extLst>
            </xdr:cNvPr>
            <xdr:cNvGraphicFramePr/>
          </xdr:nvGraphicFramePr>
          <xdr:xfrm>
            <a:off x="0" y="0"/>
            <a:ext cx="0" cy="0"/>
          </xdr:xfrm>
          <a:graphic>
            <a:graphicData uri="http://schemas.microsoft.com/office/drawing/2010/slicer">
              <sle:slicer xmlns:sle="http://schemas.microsoft.com/office/drawing/2010/slicer" name="Customer 1"/>
            </a:graphicData>
          </a:graphic>
        </xdr:graphicFrame>
      </mc:Choice>
      <mc:Fallback xmlns="">
        <xdr:sp macro="" textlink="">
          <xdr:nvSpPr>
            <xdr:cNvPr id="0" name=""/>
            <xdr:cNvSpPr>
              <a:spLocks noTextEdit="1"/>
            </xdr:cNvSpPr>
          </xdr:nvSpPr>
          <xdr:spPr>
            <a:xfrm>
              <a:off x="132907" y="6296610"/>
              <a:ext cx="2285830" cy="4498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83078</xdr:colOff>
      <xdr:row>12</xdr:row>
      <xdr:rowOff>146580</xdr:rowOff>
    </xdr:from>
    <xdr:to>
      <xdr:col>13</xdr:col>
      <xdr:colOff>12699</xdr:colOff>
      <xdr:row>31</xdr:row>
      <xdr:rowOff>146580</xdr:rowOff>
    </xdr:to>
    <xdr:sp macro="" textlink="">
      <xdr:nvSpPr>
        <xdr:cNvPr id="38" name="Rectangle: Rounded Corners 37">
          <a:extLst>
            <a:ext uri="{FF2B5EF4-FFF2-40B4-BE49-F238E27FC236}">
              <a16:creationId xmlns:a16="http://schemas.microsoft.com/office/drawing/2014/main" id="{AB0A1018-CB5E-4007-7D44-E02C021221E3}"/>
            </a:ext>
          </a:extLst>
        </xdr:cNvPr>
        <xdr:cNvSpPr/>
      </xdr:nvSpPr>
      <xdr:spPr>
        <a:xfrm>
          <a:off x="2521478" y="2432580"/>
          <a:ext cx="5416021" cy="3619500"/>
        </a:xfrm>
        <a:prstGeom prst="roundRect">
          <a:avLst>
            <a:gd name="adj" fmla="val 386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139700</xdr:colOff>
      <xdr:row>13</xdr:row>
      <xdr:rowOff>0</xdr:rowOff>
    </xdr:from>
    <xdr:to>
      <xdr:col>8</xdr:col>
      <xdr:colOff>546100</xdr:colOff>
      <xdr:row>14</xdr:row>
      <xdr:rowOff>165100</xdr:rowOff>
    </xdr:to>
    <xdr:sp macro="" textlink="">
      <xdr:nvSpPr>
        <xdr:cNvPr id="39" name="TextBox 38">
          <a:extLst>
            <a:ext uri="{FF2B5EF4-FFF2-40B4-BE49-F238E27FC236}">
              <a16:creationId xmlns:a16="http://schemas.microsoft.com/office/drawing/2014/main" id="{47BE4F08-2307-4E46-A3F1-5E247E39C86B}"/>
            </a:ext>
          </a:extLst>
        </xdr:cNvPr>
        <xdr:cNvSpPr txBox="1"/>
      </xdr:nvSpPr>
      <xdr:spPr>
        <a:xfrm>
          <a:off x="2578100" y="2476500"/>
          <a:ext cx="2844800" cy="355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75000"/>
                </a:schemeClr>
              </a:solidFill>
              <a:latin typeface="Times New Roman" panose="02020603050405020304" pitchFamily="18" charset="0"/>
              <a:cs typeface="Times New Roman" panose="02020603050405020304" pitchFamily="18" charset="0"/>
            </a:rPr>
            <a:t>Total sale by product</a:t>
          </a:r>
        </a:p>
      </xdr:txBody>
    </xdr:sp>
    <xdr:clientData/>
  </xdr:twoCellAnchor>
  <xdr:twoCellAnchor>
    <xdr:from>
      <xdr:col>4</xdr:col>
      <xdr:colOff>83079</xdr:colOff>
      <xdr:row>15</xdr:row>
      <xdr:rowOff>165100</xdr:rowOff>
    </xdr:from>
    <xdr:to>
      <xdr:col>12</xdr:col>
      <xdr:colOff>330200</xdr:colOff>
      <xdr:row>30</xdr:row>
      <xdr:rowOff>133604</xdr:rowOff>
    </xdr:to>
    <xdr:graphicFrame macro="">
      <xdr:nvGraphicFramePr>
        <xdr:cNvPr id="40" name="Chart 39">
          <a:extLst>
            <a:ext uri="{FF2B5EF4-FFF2-40B4-BE49-F238E27FC236}">
              <a16:creationId xmlns:a16="http://schemas.microsoft.com/office/drawing/2014/main" id="{201A3D1A-47D8-4DE3-9CF0-5D6060BB1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63500</xdr:colOff>
      <xdr:row>33</xdr:row>
      <xdr:rowOff>25400</xdr:rowOff>
    </xdr:from>
    <xdr:to>
      <xdr:col>13</xdr:col>
      <xdr:colOff>12700</xdr:colOff>
      <xdr:row>49</xdr:row>
      <xdr:rowOff>177800</xdr:rowOff>
    </xdr:to>
    <xdr:sp macro="" textlink="">
      <xdr:nvSpPr>
        <xdr:cNvPr id="41" name="Rectangle: Rounded Corners 40">
          <a:extLst>
            <a:ext uri="{FF2B5EF4-FFF2-40B4-BE49-F238E27FC236}">
              <a16:creationId xmlns:a16="http://schemas.microsoft.com/office/drawing/2014/main" id="{59549F9B-211D-9FB8-0969-A6954D95897A}"/>
            </a:ext>
          </a:extLst>
        </xdr:cNvPr>
        <xdr:cNvSpPr/>
      </xdr:nvSpPr>
      <xdr:spPr>
        <a:xfrm>
          <a:off x="2501900" y="6311900"/>
          <a:ext cx="5435600" cy="3200400"/>
        </a:xfrm>
        <a:prstGeom prst="roundRect">
          <a:avLst>
            <a:gd name="adj" fmla="val 7539"/>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4</xdr:col>
      <xdr:colOff>266700</xdr:colOff>
      <xdr:row>34</xdr:row>
      <xdr:rowOff>76200</xdr:rowOff>
    </xdr:from>
    <xdr:ext cx="2463800" cy="457200"/>
    <xdr:sp macro="" textlink="">
      <xdr:nvSpPr>
        <xdr:cNvPr id="42" name="TextBox 41">
          <a:extLst>
            <a:ext uri="{FF2B5EF4-FFF2-40B4-BE49-F238E27FC236}">
              <a16:creationId xmlns:a16="http://schemas.microsoft.com/office/drawing/2014/main" id="{312785B8-302D-C9E7-9512-1592FBFFDDC7}"/>
            </a:ext>
          </a:extLst>
        </xdr:cNvPr>
        <xdr:cNvSpPr txBox="1"/>
      </xdr:nvSpPr>
      <xdr:spPr>
        <a:xfrm>
          <a:off x="2705100" y="6553200"/>
          <a:ext cx="2463800"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chemeClr val="accent1">
                  <a:lumMod val="75000"/>
                </a:schemeClr>
              </a:solidFill>
              <a:latin typeface="Times New Roman" panose="02020603050405020304" pitchFamily="18" charset="0"/>
              <a:cs typeface="Times New Roman" panose="02020603050405020304" pitchFamily="18" charset="0"/>
            </a:rPr>
            <a:t>Total sale</a:t>
          </a:r>
          <a:r>
            <a:rPr lang="en-IN" sz="1600" b="1" baseline="0">
              <a:solidFill>
                <a:schemeClr val="accent1">
                  <a:lumMod val="75000"/>
                </a:schemeClr>
              </a:solidFill>
              <a:latin typeface="Times New Roman" panose="02020603050405020304" pitchFamily="18" charset="0"/>
              <a:cs typeface="Times New Roman" panose="02020603050405020304" pitchFamily="18" charset="0"/>
            </a:rPr>
            <a:t> by Region</a:t>
          </a:r>
          <a:endParaRPr lang="en-IN" sz="1600" b="1">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oneCellAnchor>
  <xdr:twoCellAnchor>
    <xdr:from>
      <xdr:col>4</xdr:col>
      <xdr:colOff>368300</xdr:colOff>
      <xdr:row>36</xdr:row>
      <xdr:rowOff>76200</xdr:rowOff>
    </xdr:from>
    <xdr:to>
      <xdr:col>12</xdr:col>
      <xdr:colOff>90907</xdr:colOff>
      <xdr:row>49</xdr:row>
      <xdr:rowOff>0</xdr:rowOff>
    </xdr:to>
    <xdr:graphicFrame macro="">
      <xdr:nvGraphicFramePr>
        <xdr:cNvPr id="43" name="Chart 42">
          <a:extLst>
            <a:ext uri="{FF2B5EF4-FFF2-40B4-BE49-F238E27FC236}">
              <a16:creationId xmlns:a16="http://schemas.microsoft.com/office/drawing/2014/main" id="{D350FDE3-CD50-48B5-B1A8-09B9EB336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604989</xdr:colOff>
      <xdr:row>12</xdr:row>
      <xdr:rowOff>122904</xdr:rowOff>
    </xdr:from>
    <xdr:to>
      <xdr:col>24</xdr:col>
      <xdr:colOff>583790</xdr:colOff>
      <xdr:row>31</xdr:row>
      <xdr:rowOff>168992</xdr:rowOff>
    </xdr:to>
    <xdr:sp macro="" textlink="">
      <xdr:nvSpPr>
        <xdr:cNvPr id="44" name="Rectangle: Rounded Corners 43">
          <a:extLst>
            <a:ext uri="{FF2B5EF4-FFF2-40B4-BE49-F238E27FC236}">
              <a16:creationId xmlns:a16="http://schemas.microsoft.com/office/drawing/2014/main" id="{FA5649EA-3CD2-E126-6E8E-35D3D048D5D0}"/>
            </a:ext>
          </a:extLst>
        </xdr:cNvPr>
        <xdr:cNvSpPr/>
      </xdr:nvSpPr>
      <xdr:spPr>
        <a:xfrm>
          <a:off x="8593699" y="2335162"/>
          <a:ext cx="6738478" cy="3548830"/>
        </a:xfrm>
        <a:prstGeom prst="roundRect">
          <a:avLst>
            <a:gd name="adj" fmla="val 627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168992</xdr:colOff>
      <xdr:row>12</xdr:row>
      <xdr:rowOff>168991</xdr:rowOff>
    </xdr:from>
    <xdr:to>
      <xdr:col>18</xdr:col>
      <xdr:colOff>583791</xdr:colOff>
      <xdr:row>15</xdr:row>
      <xdr:rowOff>15362</xdr:rowOff>
    </xdr:to>
    <xdr:sp macro="" textlink="">
      <xdr:nvSpPr>
        <xdr:cNvPr id="45" name="TextBox 44">
          <a:extLst>
            <a:ext uri="{FF2B5EF4-FFF2-40B4-BE49-F238E27FC236}">
              <a16:creationId xmlns:a16="http://schemas.microsoft.com/office/drawing/2014/main" id="{D3E23D5E-D8FA-B91D-ABFC-FB320705A18D}"/>
            </a:ext>
          </a:extLst>
        </xdr:cNvPr>
        <xdr:cNvSpPr txBox="1"/>
      </xdr:nvSpPr>
      <xdr:spPr>
        <a:xfrm>
          <a:off x="8772218" y="2381249"/>
          <a:ext cx="2872863" cy="3994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75000"/>
                </a:schemeClr>
              </a:solidFill>
              <a:latin typeface="Times New Roman" panose="02020603050405020304" pitchFamily="18" charset="0"/>
              <a:cs typeface="Times New Roman" panose="02020603050405020304" pitchFamily="18" charset="0"/>
            </a:rPr>
            <a:t>Total sales by customer</a:t>
          </a:r>
        </a:p>
      </xdr:txBody>
    </xdr:sp>
    <xdr:clientData/>
  </xdr:twoCellAnchor>
  <xdr:twoCellAnchor>
    <xdr:from>
      <xdr:col>14</xdr:col>
      <xdr:colOff>61450</xdr:colOff>
      <xdr:row>17</xdr:row>
      <xdr:rowOff>0</xdr:rowOff>
    </xdr:from>
    <xdr:to>
      <xdr:col>24</xdr:col>
      <xdr:colOff>430160</xdr:colOff>
      <xdr:row>29</xdr:row>
      <xdr:rowOff>180743</xdr:rowOff>
    </xdr:to>
    <xdr:graphicFrame macro="">
      <xdr:nvGraphicFramePr>
        <xdr:cNvPr id="46" name="Chart 45">
          <a:extLst>
            <a:ext uri="{FF2B5EF4-FFF2-40B4-BE49-F238E27FC236}">
              <a16:creationId xmlns:a16="http://schemas.microsoft.com/office/drawing/2014/main" id="{27FBF9E9-DDD7-4FF9-BA62-AE40C96DB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15363</xdr:colOff>
      <xdr:row>32</xdr:row>
      <xdr:rowOff>168992</xdr:rowOff>
    </xdr:from>
    <xdr:to>
      <xdr:col>25</xdr:col>
      <xdr:colOff>0</xdr:colOff>
      <xdr:row>55</xdr:row>
      <xdr:rowOff>127000</xdr:rowOff>
    </xdr:to>
    <xdr:sp macro="" textlink="">
      <xdr:nvSpPr>
        <xdr:cNvPr id="47" name="Rectangle: Rounded Corners 46">
          <a:extLst>
            <a:ext uri="{FF2B5EF4-FFF2-40B4-BE49-F238E27FC236}">
              <a16:creationId xmlns:a16="http://schemas.microsoft.com/office/drawing/2014/main" id="{FC06D1B7-B329-2274-570E-B3F0D9F62B0A}"/>
            </a:ext>
          </a:extLst>
        </xdr:cNvPr>
        <xdr:cNvSpPr/>
      </xdr:nvSpPr>
      <xdr:spPr>
        <a:xfrm>
          <a:off x="8609030" y="6264992"/>
          <a:ext cx="6736803" cy="4339508"/>
        </a:xfrm>
        <a:prstGeom prst="roundRect">
          <a:avLst>
            <a:gd name="adj" fmla="val 745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127001</xdr:colOff>
      <xdr:row>37</xdr:row>
      <xdr:rowOff>127000</xdr:rowOff>
    </xdr:from>
    <xdr:to>
      <xdr:col>24</xdr:col>
      <xdr:colOff>275167</xdr:colOff>
      <xdr:row>54</xdr:row>
      <xdr:rowOff>42333</xdr:rowOff>
    </xdr:to>
    <xdr:graphicFrame macro="">
      <xdr:nvGraphicFramePr>
        <xdr:cNvPr id="48" name="Chart 47">
          <a:extLst>
            <a:ext uri="{FF2B5EF4-FFF2-40B4-BE49-F238E27FC236}">
              <a16:creationId xmlns:a16="http://schemas.microsoft.com/office/drawing/2014/main" id="{84DDEF18-1CCF-44E0-98F9-28074FFBB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296332</xdr:colOff>
      <xdr:row>34</xdr:row>
      <xdr:rowOff>21167</xdr:rowOff>
    </xdr:from>
    <xdr:to>
      <xdr:col>20</xdr:col>
      <xdr:colOff>402165</xdr:colOff>
      <xdr:row>36</xdr:row>
      <xdr:rowOff>0</xdr:rowOff>
    </xdr:to>
    <xdr:sp macro="" textlink="">
      <xdr:nvSpPr>
        <xdr:cNvPr id="49" name="TextBox 48">
          <a:extLst>
            <a:ext uri="{FF2B5EF4-FFF2-40B4-BE49-F238E27FC236}">
              <a16:creationId xmlns:a16="http://schemas.microsoft.com/office/drawing/2014/main" id="{08AE078C-A778-F3CE-C1F7-61CE16F396A7}"/>
            </a:ext>
          </a:extLst>
        </xdr:cNvPr>
        <xdr:cNvSpPr txBox="1"/>
      </xdr:nvSpPr>
      <xdr:spPr>
        <a:xfrm>
          <a:off x="8889999" y="6498167"/>
          <a:ext cx="3788833" cy="359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75000"/>
                </a:schemeClr>
              </a:solidFill>
              <a:latin typeface="Times New Roman" panose="02020603050405020304" pitchFamily="18" charset="0"/>
              <a:cs typeface="Times New Roman" panose="02020603050405020304" pitchFamily="18" charset="0"/>
            </a:rPr>
            <a:t>Total sales by Product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R" refreshedDate="46263.512299768518" createdVersion="8" refreshedVersion="8" minRefreshableVersion="3" recordCount="100" xr:uid="{2487AB04-E6EB-411A-A129-FE60AC7EA9BF}">
  <cacheSource type="worksheet">
    <worksheetSource name="Table1"/>
  </cacheSource>
  <cacheFields count="11">
    <cacheField name="Order ID" numFmtId="0">
      <sharedItems/>
    </cacheField>
    <cacheField name="Order Date" numFmtId="14">
      <sharedItems containsSemiMixedTypes="0" containsNonDate="0" containsDate="1" containsString="0" minDate="2023-03-15T00:00:00" maxDate="2026-02-20T00:00:00"/>
    </cacheField>
    <cacheField name="Customer" numFmtId="164">
      <sharedItems count="100">
        <s v="Aarav Kumar"/>
        <s v="Arjun Raj"/>
        <s v="Aditya Sharma"/>
        <s v="Akash Kumar"/>
        <s v="Ananya Singh"/>
        <s v="Anjali Verma"/>
        <s v="Ashwin Raj"/>
        <s v="Aishwarya Kumar"/>
        <s v="Bala Murugan"/>
        <s v="Bharath Kumar"/>
        <s v="Bhavya Reddy"/>
        <s v="Charan Kumar"/>
        <s v="Deepak Raj"/>
        <s v="Divya Sharma"/>
        <s v="Dinesh Kumar"/>
        <s v="Dharani Raj"/>
        <s v="Gokul Krishna"/>
        <s v="Gayathri Devi"/>
        <s v="Hari Prasad"/>
        <s v="Harini Kumar"/>
        <s v="Hemanth Raj"/>
        <s v="Ishaan Patel"/>
        <s v="Ishwarya Raj"/>
        <s v="Jai Kumar"/>
        <s v="Janani Devi"/>
        <s v="Karthik Raj"/>
        <s v="Kavya Sharma"/>
        <s v="Kishore Kumar"/>
        <s v="Keerthana Raj"/>
        <s v="Lokesh Kumar"/>
        <s v="Lavanya Devi"/>
        <s v="Madhan Raj"/>
        <s v="Mahesh Kumar"/>
        <s v="Manisha Sharma"/>
        <s v="Meena Devi"/>
        <s v="Mohan Raj"/>
        <s v="Naveen Kumar"/>
        <s v="Nandhini Raj"/>
        <s v="Nikhil Sharma"/>
        <s v="Nikitha Devi"/>
        <s v="Pradeep Kumar"/>
        <s v="Priya Sharma"/>
        <s v="Pranav Raj"/>
        <s v="Pooja Devi"/>
        <s v="Rahul Kumar"/>
        <s v="Ramya Raj"/>
        <s v="Rakesh Sharma"/>
        <s v="Ranjith Kumar"/>
        <s v="Reshma Devi"/>
        <s v="Rohit Raj"/>
        <s v="Sahana Kumar"/>
        <s v="Sakthi Raj"/>
        <s v="Sanjay Kumar"/>
        <s v="Sandhya Devi"/>
        <s v="Saravanan Raj"/>
        <s v="Shalini Sharma"/>
        <s v="Shankar Kumar"/>
        <s v="Shruthi Raj"/>
        <s v="Siddharth Kumar"/>
        <s v="Sneha Devi"/>
        <s v="Surya Raj"/>
        <s v="Swathi Kumar"/>
        <s v="Tamilselvan Raj"/>
        <s v="Tharani Devi"/>
        <s v="Udhay Kumar"/>
        <s v="Vaishnavi Raj"/>
        <s v="Varun Sharma"/>
        <s v="Vignesh Kumar"/>
        <s v="Vijay Raj"/>
        <s v="Vinoth Kumar"/>
        <s v="Vishal Sharma"/>
        <s v="Yazhini Devi"/>
        <s v="Abinaya Raj"/>
        <s v="Abhishek Kumar"/>
        <s v="Akhil Raj"/>
        <s v="Amritha Devi"/>
        <s v="Anand Kumar"/>
        <s v="Anusha Raj"/>
        <s v="Ashok Sharma"/>
        <s v="Bhuvana Devi"/>
        <s v="Chandru Kumar"/>
        <s v="Dharshan Raj"/>
        <s v="Ezhil Kumar"/>
        <s v="Fathima Rahman"/>
        <s v="Ganesh Raj"/>
        <s v="Geetha Devi"/>
        <s v="Iniya Kumar"/>
        <s v="Jeeva Raj"/>
        <s v="Kavin Kumar"/>
        <s v="Lakshmi Devi"/>
        <s v="Manoj Raj"/>
        <s v="Monisha Kumar"/>
        <s v="Naren Sharma"/>
        <s v="Pavithra Raj"/>
        <s v="Prakash Kumar"/>
        <s v="Rithika Devi"/>
        <s v="Santhosh Raj"/>
        <s v="Sangeetha Kumar"/>
        <s v="Tejaswini Raj"/>
        <s v="Yuvan Kumar"/>
      </sharedItems>
    </cacheField>
    <cacheField name="Region" numFmtId="0">
      <sharedItems count="4">
        <s v="East"/>
        <s v="West"/>
        <s v="South"/>
        <s v="North"/>
      </sharedItems>
    </cacheField>
    <cacheField name="Category" numFmtId="0">
      <sharedItems/>
    </cacheField>
    <cacheField name="Product" numFmtId="0">
      <sharedItems count="85">
        <s v="Laptop"/>
        <s v="T-Shirt"/>
        <s v="Jeans"/>
        <s v="Sofa"/>
        <s v="Office Chair"/>
        <s v="Mobile Phone"/>
        <s v="Basmati Rice"/>
        <s v="Cooking Oil"/>
        <s v="Biscuits"/>
        <s v="Coffee Powder"/>
        <s v="Dining Table"/>
        <s v="Formal Shirt"/>
        <s v="Shampoo"/>
        <s v="Face Wash"/>
        <s v="Headphones"/>
        <s v="Face Cream"/>
        <s v="Bed"/>
        <s v="Smart Watch"/>
        <s v="Bluetooth Speaker"/>
        <s v="Tablet"/>
        <s v="Monitor"/>
        <s v="Bookshelf"/>
        <s v="Wheat Flour"/>
        <s v="Lipstick"/>
        <s v="Keyboard"/>
        <s v="Jacket"/>
        <s v="Study Table"/>
        <s v="Sneakers"/>
        <s v="Power Bank"/>
        <s v="Wardrobe"/>
        <s v="Recliner Chair"/>
        <s v="Gaming Mouse"/>
        <s v="Casual Shirt"/>
        <s v="Printer"/>
        <s v="Coffee Table"/>
        <s v="Sports Shoes"/>
        <s v="External Hard Drive"/>
        <s v="Perfume"/>
        <s v="Webcam"/>
        <s v="Mattress"/>
        <s v="Sugar"/>
        <s v="SSD"/>
        <s v="Kurta"/>
        <s v="Polo T-Shirt"/>
        <s v="Hoodie"/>
        <s v="Sunscreen"/>
        <s v="Smartphone"/>
        <s v="Wireless Earbuds"/>
        <s v="Cotton Shirt"/>
        <s v="Green Tea"/>
        <s v="Wireless Charger"/>
        <s v="Mechanical Keyboard"/>
        <s v="Denim Jeans"/>
        <s v="USB Cable"/>
        <s v="Dining Chair"/>
        <s v="Office Table"/>
        <s v="Skirt"/>
        <s v="TV Cabinet"/>
        <s v="Power Adapter"/>
        <s v="Dress"/>
        <s v="Hair Oil"/>
        <s v="Speaker"/>
        <s v="Storage Cabinet"/>
        <s v="Makeup Kit"/>
        <s v="Rice"/>
        <s v="Noodles"/>
        <s v="Body Lotion"/>
        <s v="Pasta"/>
        <s v="Computer Monitor"/>
        <s v="Face Serum"/>
        <s v="Shirt"/>
        <s v="Lip Balm"/>
        <s v="Corn Flakes"/>
        <s v="Instant Coffee"/>
        <s v="Conditioner"/>
        <s v="Bedside Table"/>
        <s v="Pickle"/>
        <s v="Formal Shoes"/>
        <s v="Cooking Spices"/>
        <s v="Face Mask"/>
        <s v="Track Pants"/>
        <s v="Tomato Sauce"/>
        <s v="Body Wash"/>
        <s v="Chocolate Biscuits"/>
        <s v="Bluetooth Earbuds"/>
      </sharedItems>
    </cacheField>
    <cacheField name="Quantity" numFmtId="0">
      <sharedItems containsSemiMixedTypes="0" containsString="0" containsNumber="1" containsInteger="1" minValue="1" maxValue="10"/>
    </cacheField>
    <cacheField name="Sales" numFmtId="165">
      <sharedItems containsSemiMixedTypes="0" containsString="0" containsNumber="1" containsInteger="1" minValue="500" maxValue="49909"/>
    </cacheField>
    <cacheField name="Discount" numFmtId="9">
      <sharedItems containsSemiMixedTypes="0" containsString="0" containsNumber="1" minValue="0.05" maxValue="0.3"/>
    </cacheField>
    <cacheField name="Profit" numFmtId="0">
      <sharedItems containsSemiMixedTypes="0" containsString="0" containsNumber="1" containsInteger="1" minValue="1103" maxValue="29705"/>
    </cacheField>
    <cacheField name="Payment" numFmtId="0">
      <sharedItems/>
    </cacheField>
  </cacheFields>
  <extLst>
    <ext xmlns:x14="http://schemas.microsoft.com/office/spreadsheetml/2009/9/main" uri="{725AE2AE-9491-48be-B2B4-4EB974FC3084}">
      <x14:pivotCacheDefinition pivotCacheId="362928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1"/>
    <d v="2026-02-19T00:00:00"/>
    <x v="0"/>
    <x v="0"/>
    <s v="Electronics"/>
    <x v="0"/>
    <n v="6"/>
    <n v="10468"/>
    <n v="0.16"/>
    <n v="19595"/>
    <s v="Cash"/>
  </r>
  <r>
    <s v="ORD1002"/>
    <d v="2023-06-30T00:00:00"/>
    <x v="1"/>
    <x v="1"/>
    <s v="Clothing"/>
    <x v="1"/>
    <n v="1"/>
    <n v="500"/>
    <n v="0.21"/>
    <n v="16462"/>
    <s v="Net Banking"/>
  </r>
  <r>
    <s v="ORD1003"/>
    <d v="2025-11-14T00:00:00"/>
    <x v="2"/>
    <x v="1"/>
    <s v="Clothing"/>
    <x v="2"/>
    <n v="8"/>
    <n v="5000"/>
    <n v="0.25"/>
    <n v="26558"/>
    <s v="Cash"/>
  </r>
  <r>
    <s v="ORD1004"/>
    <d v="2023-04-14T00:00:00"/>
    <x v="3"/>
    <x v="2"/>
    <s v="Furniture"/>
    <x v="3"/>
    <n v="4"/>
    <n v="31002"/>
    <n v="0.2"/>
    <n v="8401"/>
    <s v="Cash"/>
  </r>
  <r>
    <s v="ORD1005"/>
    <d v="2024-08-15T00:00:00"/>
    <x v="4"/>
    <x v="3"/>
    <s v="Furniture"/>
    <x v="4"/>
    <n v="8"/>
    <n v="12469"/>
    <n v="0.15"/>
    <n v="28043"/>
    <s v="Credit"/>
  </r>
  <r>
    <s v="ORD1006"/>
    <d v="2025-11-13T00:00:00"/>
    <x v="5"/>
    <x v="3"/>
    <s v="Electronics"/>
    <x v="5"/>
    <n v="9"/>
    <n v="18125"/>
    <n v="0.15"/>
    <n v="1875"/>
    <s v="Cash"/>
  </r>
  <r>
    <s v="ORD1007"/>
    <d v="2024-02-16T00:00:00"/>
    <x v="6"/>
    <x v="2"/>
    <s v="Grocery"/>
    <x v="6"/>
    <n v="1"/>
    <n v="36192"/>
    <n v="0.11"/>
    <n v="14913"/>
    <s v="Credit"/>
  </r>
  <r>
    <s v="ORD1008"/>
    <d v="2024-09-14T00:00:00"/>
    <x v="7"/>
    <x v="1"/>
    <s v="Grocery"/>
    <x v="7"/>
    <n v="4"/>
    <n v="6056"/>
    <n v="0.1"/>
    <n v="21217"/>
    <s v="Card"/>
  </r>
  <r>
    <s v="ORD1009"/>
    <d v="2023-07-07T00:00:00"/>
    <x v="8"/>
    <x v="0"/>
    <s v="Grocery"/>
    <x v="8"/>
    <n v="2"/>
    <n v="42384"/>
    <n v="0.18"/>
    <n v="11891"/>
    <s v="Card"/>
  </r>
  <r>
    <s v="ORD1010"/>
    <d v="2024-08-16T00:00:00"/>
    <x v="9"/>
    <x v="0"/>
    <s v="Grocery"/>
    <x v="9"/>
    <n v="3"/>
    <n v="8040"/>
    <n v="0.16"/>
    <n v="7079"/>
    <s v="Card"/>
  </r>
  <r>
    <s v="ORD1011"/>
    <d v="2023-04-23T00:00:00"/>
    <x v="10"/>
    <x v="1"/>
    <s v="Furniture"/>
    <x v="10"/>
    <n v="7"/>
    <n v="14611"/>
    <n v="0.13"/>
    <n v="21444"/>
    <s v="Net Banking"/>
  </r>
  <r>
    <s v="ORD1012"/>
    <d v="2023-08-20T00:00:00"/>
    <x v="11"/>
    <x v="3"/>
    <s v="Clothing"/>
    <x v="11"/>
    <n v="7"/>
    <n v="37575"/>
    <n v="0.17"/>
    <n v="24466"/>
    <s v="Credit"/>
  </r>
  <r>
    <s v="ORD1013"/>
    <d v="2024-05-03T00:00:00"/>
    <x v="12"/>
    <x v="0"/>
    <s v="Beauty"/>
    <x v="12"/>
    <n v="4"/>
    <n v="31714"/>
    <n v="0.09"/>
    <n v="23968"/>
    <s v="Net Banking"/>
  </r>
  <r>
    <s v="ORD1014"/>
    <d v="2023-08-03T00:00:00"/>
    <x v="13"/>
    <x v="2"/>
    <s v="Beauty"/>
    <x v="13"/>
    <n v="9"/>
    <n v="49909"/>
    <n v="0.05"/>
    <n v="17146"/>
    <s v="Card"/>
  </r>
  <r>
    <s v="ORD1015"/>
    <d v="2025-01-30T00:00:00"/>
    <x v="14"/>
    <x v="0"/>
    <s v="Electronics"/>
    <x v="14"/>
    <n v="8"/>
    <n v="19527"/>
    <n v="0.11"/>
    <n v="20231"/>
    <s v="Net Banking"/>
  </r>
  <r>
    <s v="ORD1016"/>
    <d v="2023-06-13T00:00:00"/>
    <x v="15"/>
    <x v="3"/>
    <s v="Beauty"/>
    <x v="15"/>
    <n v="9"/>
    <n v="44418"/>
    <n v="0.14000000000000001"/>
    <n v="26484"/>
    <s v="UPI"/>
  </r>
  <r>
    <s v="ORD1017"/>
    <d v="2025-03-17T00:00:00"/>
    <x v="16"/>
    <x v="3"/>
    <s v="Furniture"/>
    <x v="16"/>
    <n v="2"/>
    <n v="10375"/>
    <n v="0.26"/>
    <n v="3157"/>
    <s v="UPI"/>
  </r>
  <r>
    <s v="ORD1018"/>
    <d v="2024-01-16T00:00:00"/>
    <x v="17"/>
    <x v="3"/>
    <s v="Electronics"/>
    <x v="17"/>
    <n v="6"/>
    <n v="18795"/>
    <n v="0.14000000000000001"/>
    <n v="1922"/>
    <s v="Cash"/>
  </r>
  <r>
    <s v="ORD1019"/>
    <d v="2024-04-04T00:00:00"/>
    <x v="18"/>
    <x v="3"/>
    <s v="Electronics"/>
    <x v="18"/>
    <n v="5"/>
    <n v="16626"/>
    <n v="0.13"/>
    <n v="5003"/>
    <s v="UPI"/>
  </r>
  <r>
    <s v="ORD1020"/>
    <d v="2025-12-12T00:00:00"/>
    <x v="19"/>
    <x v="2"/>
    <s v="Electronics"/>
    <x v="19"/>
    <n v="7"/>
    <n v="47685"/>
    <n v="0.28000000000000003"/>
    <n v="28291"/>
    <s v="UPI"/>
  </r>
  <r>
    <s v="ORD1021"/>
    <d v="2023-05-03T00:00:00"/>
    <x v="20"/>
    <x v="2"/>
    <s v="Electronics"/>
    <x v="20"/>
    <n v="8"/>
    <n v="16086"/>
    <n v="0.2"/>
    <n v="20832"/>
    <s v="UPI"/>
  </r>
  <r>
    <s v="ORD1022"/>
    <d v="2024-06-06T00:00:00"/>
    <x v="21"/>
    <x v="2"/>
    <s v="Furniture"/>
    <x v="21"/>
    <n v="6"/>
    <n v="19618"/>
    <n v="0.28999999999999998"/>
    <n v="18859"/>
    <s v="Credit"/>
  </r>
  <r>
    <s v="ORD1023"/>
    <d v="2025-04-24T00:00:00"/>
    <x v="22"/>
    <x v="2"/>
    <s v="Grocery"/>
    <x v="22"/>
    <n v="10"/>
    <n v="48083"/>
    <n v="0.15"/>
    <n v="11884"/>
    <s v="Cash"/>
  </r>
  <r>
    <s v="ORD1024"/>
    <d v="2024-03-02T00:00:00"/>
    <x v="23"/>
    <x v="2"/>
    <s v="Beauty"/>
    <x v="23"/>
    <n v="8"/>
    <n v="33570"/>
    <n v="0.19"/>
    <n v="2648"/>
    <s v="UPI"/>
  </r>
  <r>
    <s v="ORD1025"/>
    <d v="2024-01-16T00:00:00"/>
    <x v="24"/>
    <x v="3"/>
    <s v="Electronics"/>
    <x v="24"/>
    <n v="1"/>
    <n v="35239"/>
    <n v="0.15"/>
    <n v="26076"/>
    <s v="Credit"/>
  </r>
  <r>
    <s v="ORD1026"/>
    <d v="2025-07-17T00:00:00"/>
    <x v="25"/>
    <x v="2"/>
    <s v="Clothing"/>
    <x v="25"/>
    <n v="4"/>
    <n v="38069"/>
    <n v="7.0000000000000007E-2"/>
    <n v="15190"/>
    <s v="Credit"/>
  </r>
  <r>
    <s v="ORD1027"/>
    <d v="2024-10-26T00:00:00"/>
    <x v="26"/>
    <x v="3"/>
    <s v="Furniture"/>
    <x v="26"/>
    <n v="8"/>
    <n v="22159"/>
    <n v="0.3"/>
    <n v="13464"/>
    <s v="Card"/>
  </r>
  <r>
    <s v="ORD1028"/>
    <d v="2025-01-12T00:00:00"/>
    <x v="27"/>
    <x v="0"/>
    <s v="Clothing"/>
    <x v="27"/>
    <n v="6"/>
    <n v="23646"/>
    <n v="0.13"/>
    <n v="4848"/>
    <s v="Credit"/>
  </r>
  <r>
    <s v="ORD1029"/>
    <d v="2026-02-13T00:00:00"/>
    <x v="28"/>
    <x v="3"/>
    <s v="Electronics"/>
    <x v="28"/>
    <n v="9"/>
    <n v="9779"/>
    <n v="0.15"/>
    <n v="4432"/>
    <s v="UPI"/>
  </r>
  <r>
    <s v="ORD1030"/>
    <d v="2024-08-25T00:00:00"/>
    <x v="29"/>
    <x v="3"/>
    <s v="Furniture"/>
    <x v="29"/>
    <n v="7"/>
    <n v="19520"/>
    <n v="0.26"/>
    <n v="15072"/>
    <s v="Cash"/>
  </r>
  <r>
    <s v="ORD1031"/>
    <d v="2023-12-18T00:00:00"/>
    <x v="30"/>
    <x v="1"/>
    <s v="Furniture"/>
    <x v="30"/>
    <n v="6"/>
    <n v="33783"/>
    <n v="0.24"/>
    <n v="16139"/>
    <s v="Card"/>
  </r>
  <r>
    <s v="ORD1032"/>
    <d v="2025-10-31T00:00:00"/>
    <x v="31"/>
    <x v="0"/>
    <s v="Electronics"/>
    <x v="31"/>
    <n v="6"/>
    <n v="20969"/>
    <n v="0.11"/>
    <n v="27753"/>
    <s v="Credit"/>
  </r>
  <r>
    <s v="ORD1033"/>
    <d v="2025-10-04T00:00:00"/>
    <x v="32"/>
    <x v="1"/>
    <s v="Clothing"/>
    <x v="32"/>
    <n v="3"/>
    <n v="11445"/>
    <n v="0.28999999999999998"/>
    <n v="22926"/>
    <s v="Cash"/>
  </r>
  <r>
    <s v="ORD1034"/>
    <d v="2025-02-16T00:00:00"/>
    <x v="33"/>
    <x v="2"/>
    <s v="Electronics"/>
    <x v="33"/>
    <n v="7"/>
    <n v="23461"/>
    <n v="0.09"/>
    <n v="7936"/>
    <s v="Card"/>
  </r>
  <r>
    <s v="ORD1035"/>
    <d v="2025-04-28T00:00:00"/>
    <x v="34"/>
    <x v="1"/>
    <s v="Furniture"/>
    <x v="34"/>
    <n v="10"/>
    <n v="45552"/>
    <n v="0.17"/>
    <n v="7980"/>
    <s v="Card"/>
  </r>
  <r>
    <s v="ORD1036"/>
    <d v="2024-01-15T00:00:00"/>
    <x v="35"/>
    <x v="3"/>
    <s v="Clothing"/>
    <x v="35"/>
    <n v="8"/>
    <n v="2575"/>
    <n v="0.16"/>
    <n v="26921"/>
    <s v="UPI"/>
  </r>
  <r>
    <s v="ORD1037"/>
    <d v="2025-03-10T00:00:00"/>
    <x v="36"/>
    <x v="2"/>
    <s v="Electronics"/>
    <x v="36"/>
    <n v="6"/>
    <n v="1568"/>
    <n v="0.08"/>
    <n v="27982"/>
    <s v="Cash"/>
  </r>
  <r>
    <s v="ORD1038"/>
    <d v="2026-02-17T00:00:00"/>
    <x v="37"/>
    <x v="3"/>
    <s v="Beauty"/>
    <x v="37"/>
    <n v="5"/>
    <n v="7910"/>
    <n v="0.17"/>
    <n v="12639"/>
    <s v="Credit"/>
  </r>
  <r>
    <s v="ORD1039"/>
    <d v="2024-07-12T00:00:00"/>
    <x v="38"/>
    <x v="1"/>
    <s v="Electronics"/>
    <x v="38"/>
    <n v="7"/>
    <n v="25645"/>
    <n v="0.22"/>
    <n v="14254"/>
    <s v="Credit"/>
  </r>
  <r>
    <s v="ORD1040"/>
    <d v="2025-04-22T00:00:00"/>
    <x v="39"/>
    <x v="1"/>
    <s v="Furniture"/>
    <x v="39"/>
    <n v="2"/>
    <n v="14217"/>
    <n v="0.09"/>
    <n v="17294"/>
    <s v="Net Banking"/>
  </r>
  <r>
    <s v="ORD1041"/>
    <d v="2024-07-31T00:00:00"/>
    <x v="40"/>
    <x v="2"/>
    <s v="Grocery"/>
    <x v="40"/>
    <n v="10"/>
    <n v="10994"/>
    <n v="0.28999999999999998"/>
    <n v="14478"/>
    <s v="Credit"/>
  </r>
  <r>
    <s v="ORD1042"/>
    <d v="2024-08-13T00:00:00"/>
    <x v="41"/>
    <x v="0"/>
    <s v="Electronics"/>
    <x v="41"/>
    <n v="9"/>
    <n v="21616"/>
    <n v="7.0000000000000007E-2"/>
    <n v="29705"/>
    <s v="Cash"/>
  </r>
  <r>
    <s v="ORD1043"/>
    <d v="2025-09-11T00:00:00"/>
    <x v="42"/>
    <x v="0"/>
    <s v="Grocery"/>
    <x v="42"/>
    <n v="6"/>
    <n v="29268"/>
    <n v="7.0000000000000007E-2"/>
    <n v="10871"/>
    <s v="Credit"/>
  </r>
  <r>
    <s v="ORD1044"/>
    <d v="2024-04-17T00:00:00"/>
    <x v="43"/>
    <x v="3"/>
    <s v="Clothing"/>
    <x v="43"/>
    <n v="10"/>
    <n v="15761"/>
    <n v="0.25"/>
    <n v="19054"/>
    <s v="Credit"/>
  </r>
  <r>
    <s v="ORD1045"/>
    <d v="2024-06-15T00:00:00"/>
    <x v="44"/>
    <x v="2"/>
    <s v="Clothing"/>
    <x v="44"/>
    <n v="6"/>
    <n v="11553"/>
    <n v="0.3"/>
    <n v="14071"/>
    <s v="UPI"/>
  </r>
  <r>
    <s v="ORD1046"/>
    <d v="2024-10-16T00:00:00"/>
    <x v="45"/>
    <x v="0"/>
    <s v="Clothing"/>
    <x v="45"/>
    <n v="1"/>
    <n v="39559"/>
    <n v="0.14000000000000001"/>
    <n v="25383"/>
    <s v="Net Banking"/>
  </r>
  <r>
    <s v="ORD1047"/>
    <d v="2025-09-18T00:00:00"/>
    <x v="46"/>
    <x v="2"/>
    <s v="Beauty"/>
    <x v="46"/>
    <n v="1"/>
    <n v="45112"/>
    <n v="0.18"/>
    <n v="24555"/>
    <s v="Cash"/>
  </r>
  <r>
    <s v="ORD1048"/>
    <d v="2025-04-03T00:00:00"/>
    <x v="47"/>
    <x v="1"/>
    <s v="Electronics"/>
    <x v="47"/>
    <n v="2"/>
    <n v="48646"/>
    <n v="0.27"/>
    <n v="20287"/>
    <s v="Net Banking"/>
  </r>
  <r>
    <s v="ORD1049"/>
    <d v="2023-03-31T00:00:00"/>
    <x v="48"/>
    <x v="3"/>
    <s v="Electronics"/>
    <x v="48"/>
    <n v="5"/>
    <n v="11933"/>
    <n v="0.13"/>
    <n v="12847"/>
    <s v="UPI"/>
  </r>
  <r>
    <s v="ORD1050"/>
    <d v="2023-12-28T00:00:00"/>
    <x v="49"/>
    <x v="3"/>
    <s v="Clothing"/>
    <x v="49"/>
    <n v="2"/>
    <n v="35713"/>
    <n v="0.22"/>
    <n v="16715"/>
    <s v="Cash"/>
  </r>
  <r>
    <s v="ORD1051"/>
    <d v="2024-05-23T00:00:00"/>
    <x v="50"/>
    <x v="2"/>
    <s v="Grocery"/>
    <x v="50"/>
    <n v="8"/>
    <n v="48076"/>
    <n v="0.26"/>
    <n v="6209"/>
    <s v="Net Banking"/>
  </r>
  <r>
    <s v="ORD1052"/>
    <d v="2025-12-08T00:00:00"/>
    <x v="51"/>
    <x v="0"/>
    <s v="Electronics"/>
    <x v="51"/>
    <n v="8"/>
    <n v="49736"/>
    <n v="0.22"/>
    <n v="4882"/>
    <s v="Credit"/>
  </r>
  <r>
    <s v="ORD1053"/>
    <d v="2024-10-23T00:00:00"/>
    <x v="52"/>
    <x v="0"/>
    <s v="Electronics"/>
    <x v="52"/>
    <n v="6"/>
    <n v="42868"/>
    <n v="0.24"/>
    <n v="4340"/>
    <s v="Cash"/>
  </r>
  <r>
    <s v="ORD1054"/>
    <d v="2024-01-06T00:00:00"/>
    <x v="53"/>
    <x v="0"/>
    <s v="Clothing"/>
    <x v="53"/>
    <n v="6"/>
    <n v="7408"/>
    <n v="0.13"/>
    <n v="11118"/>
    <s v="Cash"/>
  </r>
  <r>
    <s v="ORD1055"/>
    <d v="2025-10-22T00:00:00"/>
    <x v="54"/>
    <x v="1"/>
    <s v="Electronics"/>
    <x v="0"/>
    <n v="1"/>
    <n v="22474"/>
    <n v="0.28000000000000003"/>
    <n v="29278"/>
    <s v="Net Banking"/>
  </r>
  <r>
    <s v="ORD1056"/>
    <d v="2024-12-01T00:00:00"/>
    <x v="55"/>
    <x v="1"/>
    <s v="Furniture"/>
    <x v="54"/>
    <n v="1"/>
    <n v="36499"/>
    <n v="0.27"/>
    <n v="13889"/>
    <s v="Net Banking"/>
  </r>
  <r>
    <s v="ORD1057"/>
    <d v="2023-05-28T00:00:00"/>
    <x v="56"/>
    <x v="0"/>
    <s v="Furniture"/>
    <x v="55"/>
    <n v="1"/>
    <n v="17987"/>
    <n v="0.24"/>
    <n v="26054"/>
    <s v="UPI"/>
  </r>
  <r>
    <s v="ORD1058"/>
    <d v="2024-12-17T00:00:00"/>
    <x v="57"/>
    <x v="0"/>
    <s v="Clothing"/>
    <x v="56"/>
    <n v="10"/>
    <n v="9015"/>
    <n v="0.18"/>
    <n v="24947"/>
    <s v="Card"/>
  </r>
  <r>
    <s v="ORD1059"/>
    <d v="2025-12-25T00:00:00"/>
    <x v="58"/>
    <x v="3"/>
    <s v="Furniture"/>
    <x v="57"/>
    <n v="2"/>
    <n v="28722"/>
    <n v="0.24"/>
    <n v="22559"/>
    <s v="Net Banking"/>
  </r>
  <r>
    <s v="ORD1060"/>
    <d v="2025-06-13T00:00:00"/>
    <x v="59"/>
    <x v="1"/>
    <s v="Electronics"/>
    <x v="58"/>
    <n v="5"/>
    <n v="22988"/>
    <n v="0.28000000000000003"/>
    <n v="3879"/>
    <s v="Credit"/>
  </r>
  <r>
    <s v="ORD1061"/>
    <d v="2023-11-01T00:00:00"/>
    <x v="60"/>
    <x v="2"/>
    <s v="Clothing"/>
    <x v="59"/>
    <n v="2"/>
    <n v="4430"/>
    <n v="0.25"/>
    <n v="25619"/>
    <s v="UPI"/>
  </r>
  <r>
    <s v="ORD1062"/>
    <d v="2026-01-30T00:00:00"/>
    <x v="61"/>
    <x v="2"/>
    <s v="Beauty"/>
    <x v="60"/>
    <n v="1"/>
    <n v="26096"/>
    <n v="0.08"/>
    <n v="4367"/>
    <s v="Credit"/>
  </r>
  <r>
    <s v="ORD1063"/>
    <d v="2025-02-02T00:00:00"/>
    <x v="62"/>
    <x v="2"/>
    <s v="Electronics"/>
    <x v="61"/>
    <n v="6"/>
    <n v="34343"/>
    <n v="0.11"/>
    <n v="29204"/>
    <s v="Cash"/>
  </r>
  <r>
    <s v="ORD1064"/>
    <d v="2023-08-29T00:00:00"/>
    <x v="63"/>
    <x v="1"/>
    <s v="Furniture"/>
    <x v="62"/>
    <n v="3"/>
    <n v="36944"/>
    <n v="0.05"/>
    <n v="28791"/>
    <s v="Credit"/>
  </r>
  <r>
    <s v="ORD1065"/>
    <d v="2024-10-20T00:00:00"/>
    <x v="64"/>
    <x v="0"/>
    <s v="Furniture"/>
    <x v="63"/>
    <n v="9"/>
    <n v="25820"/>
    <n v="0.19"/>
    <n v="1394"/>
    <s v="Card"/>
  </r>
  <r>
    <s v="ORD1066"/>
    <d v="2023-09-26T00:00:00"/>
    <x v="65"/>
    <x v="1"/>
    <s v="Beauty"/>
    <x v="64"/>
    <n v="3"/>
    <n v="45624"/>
    <n v="0.09"/>
    <n v="18294"/>
    <s v="Net Banking"/>
  </r>
  <r>
    <s v="ORD1067"/>
    <d v="2024-01-05T00:00:00"/>
    <x v="66"/>
    <x v="3"/>
    <s v="Grocery"/>
    <x v="65"/>
    <n v="6"/>
    <n v="10062"/>
    <n v="0.13"/>
    <n v="10049"/>
    <s v="Net Banking"/>
  </r>
  <r>
    <s v="ORD1068"/>
    <d v="2025-07-03T00:00:00"/>
    <x v="67"/>
    <x v="3"/>
    <s v="Grocery"/>
    <x v="66"/>
    <n v="4"/>
    <n v="30700"/>
    <n v="7.0000000000000007E-2"/>
    <n v="19486"/>
    <s v="Cash"/>
  </r>
  <r>
    <s v="ORD1069"/>
    <d v="2024-06-30T00:00:00"/>
    <x v="68"/>
    <x v="3"/>
    <s v="Beauty"/>
    <x v="67"/>
    <n v="2"/>
    <n v="49447"/>
    <n v="0.05"/>
    <n v="20382"/>
    <s v="Cash"/>
  </r>
  <r>
    <s v="ORD1070"/>
    <d v="2025-12-03T00:00:00"/>
    <x v="69"/>
    <x v="2"/>
    <s v="Grocery"/>
    <x v="17"/>
    <n v="4"/>
    <n v="23288"/>
    <n v="0.18"/>
    <n v="8452"/>
    <s v="Credit"/>
  </r>
  <r>
    <s v="ORD1071"/>
    <d v="2025-06-06T00:00:00"/>
    <x v="70"/>
    <x v="3"/>
    <s v="Electronics"/>
    <x v="68"/>
    <n v="2"/>
    <n v="25780"/>
    <n v="0.14000000000000001"/>
    <n v="17249"/>
    <s v="UPI"/>
  </r>
  <r>
    <s v="ORD1072"/>
    <d v="2024-03-07T00:00:00"/>
    <x v="71"/>
    <x v="1"/>
    <s v="Electronics"/>
    <x v="1"/>
    <n v="7"/>
    <n v="18349"/>
    <n v="7.0000000000000007E-2"/>
    <n v="9339"/>
    <s v="Credit"/>
  </r>
  <r>
    <s v="ORD1073"/>
    <d v="2025-04-27T00:00:00"/>
    <x v="72"/>
    <x v="1"/>
    <s v="Clothing"/>
    <x v="2"/>
    <n v="5"/>
    <n v="1539"/>
    <n v="0.27"/>
    <n v="14897"/>
    <s v="Card"/>
  </r>
  <r>
    <s v="ORD1074"/>
    <d v="2025-08-29T00:00:00"/>
    <x v="73"/>
    <x v="0"/>
    <s v="Clothing"/>
    <x v="69"/>
    <n v="6"/>
    <n v="22501"/>
    <n v="0.17"/>
    <n v="14280"/>
    <s v="Net Banking"/>
  </r>
  <r>
    <s v="ORD1075"/>
    <d v="2023-11-07T00:00:00"/>
    <x v="74"/>
    <x v="3"/>
    <s v="Beauty"/>
    <x v="70"/>
    <n v="10"/>
    <n v="11899"/>
    <n v="0.16"/>
    <n v="24178"/>
    <s v="Cash"/>
  </r>
  <r>
    <s v="ORD1076"/>
    <d v="2024-12-12T00:00:00"/>
    <x v="75"/>
    <x v="3"/>
    <s v="Clothing"/>
    <x v="71"/>
    <n v="3"/>
    <n v="13307"/>
    <n v="0.15"/>
    <n v="26119"/>
    <s v="UPI"/>
  </r>
  <r>
    <s v="ORD1077"/>
    <d v="2023-04-09T00:00:00"/>
    <x v="76"/>
    <x v="0"/>
    <s v="Beauty"/>
    <x v="25"/>
    <n v="2"/>
    <n v="11620"/>
    <n v="0.24"/>
    <n v="2509"/>
    <s v="Cash"/>
  </r>
  <r>
    <s v="ORD1078"/>
    <d v="2023-07-29T00:00:00"/>
    <x v="77"/>
    <x v="0"/>
    <s v="Clothing"/>
    <x v="19"/>
    <n v="8"/>
    <n v="42631"/>
    <n v="0.23"/>
    <n v="1103"/>
    <s v="Net Banking"/>
  </r>
  <r>
    <s v="ORD1079"/>
    <d v="2025-06-19T00:00:00"/>
    <x v="78"/>
    <x v="0"/>
    <s v="Electronics"/>
    <x v="72"/>
    <n v="7"/>
    <n v="42159"/>
    <n v="0.28000000000000003"/>
    <n v="15035"/>
    <s v="Net Banking"/>
  </r>
  <r>
    <s v="ORD1080"/>
    <d v="2023-03-15T00:00:00"/>
    <x v="79"/>
    <x v="2"/>
    <s v="Grocery"/>
    <x v="73"/>
    <n v="4"/>
    <n v="41002"/>
    <n v="0.25"/>
    <n v="23989"/>
    <s v="Net Banking"/>
  </r>
  <r>
    <s v="ORD1081"/>
    <d v="2023-05-11T00:00:00"/>
    <x v="80"/>
    <x v="3"/>
    <s v="Grocery"/>
    <x v="74"/>
    <n v="8"/>
    <n v="3959"/>
    <n v="0.05"/>
    <n v="5553"/>
    <s v="Card"/>
  </r>
  <r>
    <s v="ORD1082"/>
    <d v="2025-12-19T00:00:00"/>
    <x v="81"/>
    <x v="1"/>
    <s v="Beauty"/>
    <x v="30"/>
    <n v="10"/>
    <n v="41259"/>
    <n v="0.28000000000000003"/>
    <n v="12716"/>
    <s v="Credit"/>
  </r>
  <r>
    <s v="ORD1083"/>
    <d v="2024-09-12T00:00:00"/>
    <x v="82"/>
    <x v="3"/>
    <s v="Furniture"/>
    <x v="75"/>
    <n v="10"/>
    <n v="30339"/>
    <n v="0.09"/>
    <n v="7843"/>
    <s v="Card"/>
  </r>
  <r>
    <s v="ORD1084"/>
    <d v="2023-07-29T00:00:00"/>
    <x v="83"/>
    <x v="2"/>
    <s v="Furniture"/>
    <x v="21"/>
    <n v="2"/>
    <n v="21231"/>
    <n v="0.15"/>
    <n v="9921"/>
    <s v="UPI"/>
  </r>
  <r>
    <s v="ORD1085"/>
    <d v="2023-05-17T00:00:00"/>
    <x v="84"/>
    <x v="3"/>
    <s v="Furniture"/>
    <x v="76"/>
    <n v="6"/>
    <n v="28649"/>
    <n v="0.27"/>
    <n v="7530"/>
    <s v="Cash"/>
  </r>
  <r>
    <s v="ORD1086"/>
    <d v="2023-07-09T00:00:00"/>
    <x v="85"/>
    <x v="1"/>
    <s v="Grocery"/>
    <x v="77"/>
    <n v="1"/>
    <n v="44554"/>
    <n v="0.3"/>
    <n v="7237"/>
    <s v="Credit"/>
  </r>
  <r>
    <s v="ORD1087"/>
    <d v="2024-09-25T00:00:00"/>
    <x v="86"/>
    <x v="3"/>
    <s v="Clothing"/>
    <x v="0"/>
    <n v="4"/>
    <n v="29545"/>
    <n v="0.27"/>
    <n v="13284"/>
    <s v="Card"/>
  </r>
  <r>
    <s v="ORD1088"/>
    <d v="2025-07-03T00:00:00"/>
    <x v="87"/>
    <x v="1"/>
    <s v="Electronics"/>
    <x v="78"/>
    <n v="6"/>
    <n v="37101"/>
    <n v="0.11"/>
    <n v="12365"/>
    <s v="Net Banking"/>
  </r>
  <r>
    <s v="ORD1089"/>
    <d v="2025-10-13T00:00:00"/>
    <x v="88"/>
    <x v="3"/>
    <s v="Grocery"/>
    <x v="79"/>
    <n v="5"/>
    <n v="43970"/>
    <n v="0.28000000000000003"/>
    <n v="18159"/>
    <s v="Credit"/>
  </r>
  <r>
    <s v="ORD1090"/>
    <d v="2025-03-17T00:00:00"/>
    <x v="89"/>
    <x v="2"/>
    <s v="Beauty"/>
    <x v="5"/>
    <n v="7"/>
    <n v="41397"/>
    <n v="0.26"/>
    <n v="13076"/>
    <s v="Card"/>
  </r>
  <r>
    <s v="ORD1091"/>
    <d v="2023-06-30T00:00:00"/>
    <x v="90"/>
    <x v="1"/>
    <s v="Electronics"/>
    <x v="80"/>
    <n v="6"/>
    <n v="48359"/>
    <n v="0.08"/>
    <n v="11214"/>
    <s v="Credit"/>
  </r>
  <r>
    <s v="ORD1092"/>
    <d v="2024-07-15T00:00:00"/>
    <x v="91"/>
    <x v="1"/>
    <s v="Clothing"/>
    <x v="81"/>
    <n v="6"/>
    <n v="4857"/>
    <n v="0.24"/>
    <n v="29563"/>
    <s v="UPI"/>
  </r>
  <r>
    <s v="ORD1093"/>
    <d v="2025-04-17T00:00:00"/>
    <x v="92"/>
    <x v="3"/>
    <s v="Grocery"/>
    <x v="82"/>
    <n v="2"/>
    <n v="37074"/>
    <n v="0.24"/>
    <n v="23556"/>
    <s v="UPI"/>
  </r>
  <r>
    <s v="ORD1094"/>
    <d v="2024-03-30T00:00:00"/>
    <x v="93"/>
    <x v="3"/>
    <s v="Beauty"/>
    <x v="83"/>
    <n v="9"/>
    <n v="29833"/>
    <n v="7.0000000000000007E-2"/>
    <n v="28717"/>
    <s v="Credit"/>
  </r>
  <r>
    <s v="ORD1095"/>
    <d v="2025-04-29T00:00:00"/>
    <x v="94"/>
    <x v="1"/>
    <s v="Grocery"/>
    <x v="37"/>
    <n v="10"/>
    <n v="49583"/>
    <n v="0.1"/>
    <n v="3289"/>
    <s v="Credit"/>
  </r>
  <r>
    <s v="ORD1096"/>
    <d v="2025-07-06T00:00:00"/>
    <x v="95"/>
    <x v="2"/>
    <s v="Beauty"/>
    <x v="32"/>
    <n v="4"/>
    <n v="16421"/>
    <n v="0.23"/>
    <n v="21720"/>
    <s v="Cash"/>
  </r>
  <r>
    <s v="ORD1097"/>
    <d v="2024-09-04T00:00:00"/>
    <x v="96"/>
    <x v="0"/>
    <s v="Clothing"/>
    <x v="2"/>
    <n v="4"/>
    <n v="7966"/>
    <n v="0.25"/>
    <n v="17533"/>
    <s v="Net Banking"/>
  </r>
  <r>
    <s v="ORD1098"/>
    <d v="2023-07-26T00:00:00"/>
    <x v="97"/>
    <x v="3"/>
    <s v="Clothing"/>
    <x v="29"/>
    <n v="9"/>
    <n v="2084"/>
    <n v="7.0000000000000007E-2"/>
    <n v="20182"/>
    <s v="Net Banking"/>
  </r>
  <r>
    <s v="ORD1099"/>
    <d v="2024-05-04T00:00:00"/>
    <x v="98"/>
    <x v="0"/>
    <s v="Furniture"/>
    <x v="6"/>
    <n v="5"/>
    <n v="24581"/>
    <n v="0.21"/>
    <n v="16997"/>
    <s v="Net Banking"/>
  </r>
  <r>
    <s v="ORD1100"/>
    <d v="2024-11-04T00:00:00"/>
    <x v="99"/>
    <x v="1"/>
    <s v="Grocery"/>
    <x v="84"/>
    <n v="9"/>
    <n v="43144"/>
    <n v="7.0000000000000007E-2"/>
    <n v="7496"/>
    <s v="Cred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9EF5F8-2125-45E8-B8A6-F0ECD0D4B8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J12" firstHeaderRow="1" firstDataRow="1" firstDataCol="1"/>
  <pivotFields count="11">
    <pivotField showAll="0"/>
    <pivotField numFmtId="14" showAll="0"/>
    <pivotField showAll="0">
      <items count="101">
        <item x="0"/>
        <item x="73"/>
        <item x="72"/>
        <item x="2"/>
        <item x="7"/>
        <item x="3"/>
        <item x="74"/>
        <item x="75"/>
        <item x="76"/>
        <item x="4"/>
        <item x="5"/>
        <item x="77"/>
        <item x="1"/>
        <item x="78"/>
        <item x="6"/>
        <item x="8"/>
        <item x="9"/>
        <item x="10"/>
        <item x="79"/>
        <item x="80"/>
        <item x="11"/>
        <item x="12"/>
        <item x="15"/>
        <item x="81"/>
        <item x="14"/>
        <item x="13"/>
        <item x="82"/>
        <item x="83"/>
        <item x="84"/>
        <item x="17"/>
        <item x="85"/>
        <item x="16"/>
        <item x="18"/>
        <item x="19"/>
        <item x="20"/>
        <item x="86"/>
        <item x="21"/>
        <item x="22"/>
        <item x="23"/>
        <item x="24"/>
        <item x="87"/>
        <item x="25"/>
        <item x="88"/>
        <item x="26"/>
        <item x="28"/>
        <item x="27"/>
        <item x="89"/>
        <item x="30"/>
        <item x="29"/>
        <item x="31"/>
        <item x="32"/>
        <item x="33"/>
        <item x="90"/>
        <item x="34"/>
        <item x="35"/>
        <item x="91"/>
        <item x="37"/>
        <item x="92"/>
        <item x="36"/>
        <item x="38"/>
        <item x="39"/>
        <item x="93"/>
        <item x="43"/>
        <item x="40"/>
        <item x="94"/>
        <item x="42"/>
        <item x="41"/>
        <item x="44"/>
        <item x="46"/>
        <item x="45"/>
        <item x="47"/>
        <item x="48"/>
        <item x="95"/>
        <item x="49"/>
        <item x="50"/>
        <item x="51"/>
        <item x="53"/>
        <item x="97"/>
        <item x="52"/>
        <item x="96"/>
        <item x="54"/>
        <item x="55"/>
        <item x="56"/>
        <item x="57"/>
        <item x="58"/>
        <item x="59"/>
        <item x="60"/>
        <item x="61"/>
        <item x="62"/>
        <item x="98"/>
        <item x="63"/>
        <item x="64"/>
        <item x="65"/>
        <item x="66"/>
        <item x="67"/>
        <item x="68"/>
        <item x="69"/>
        <item x="70"/>
        <item x="71"/>
        <item x="99"/>
        <item t="default"/>
      </items>
    </pivotField>
    <pivotField showAll="0">
      <items count="5">
        <item x="0"/>
        <item x="3"/>
        <item x="2"/>
        <item x="1"/>
        <item t="default"/>
      </items>
    </pivotField>
    <pivotField showAll="0"/>
    <pivotField axis="axisRow" showAll="0">
      <items count="86">
        <item x="6"/>
        <item h="1" x="16"/>
        <item x="75"/>
        <item x="8"/>
        <item h="1" x="84"/>
        <item h="1" x="18"/>
        <item h="1" x="66"/>
        <item h="1" x="82"/>
        <item h="1" x="21"/>
        <item h="1" x="32"/>
        <item h="1" x="83"/>
        <item h="1" x="9"/>
        <item h="1" x="34"/>
        <item h="1" x="68"/>
        <item x="74"/>
        <item x="7"/>
        <item x="78"/>
        <item h="1" x="72"/>
        <item h="1" x="48"/>
        <item h="1" x="52"/>
        <item h="1" x="54"/>
        <item x="10"/>
        <item x="59"/>
        <item h="1" x="36"/>
        <item h="1" x="15"/>
        <item h="1" x="79"/>
        <item h="1" x="69"/>
        <item h="1" x="13"/>
        <item h="1" x="11"/>
        <item h="1" x="77"/>
        <item h="1" x="31"/>
        <item h="1" x="49"/>
        <item h="1" x="60"/>
        <item h="1" x="14"/>
        <item h="1" x="44"/>
        <item h="1" x="73"/>
        <item h="1" x="25"/>
        <item h="1" x="2"/>
        <item h="1" x="24"/>
        <item h="1" x="42"/>
        <item h="1" x="0"/>
        <item h="1" x="71"/>
        <item h="1" x="23"/>
        <item h="1" x="63"/>
        <item h="1" x="39"/>
        <item h="1" x="51"/>
        <item h="1" x="5"/>
        <item h="1" x="20"/>
        <item h="1" x="65"/>
        <item h="1" x="4"/>
        <item h="1" x="55"/>
        <item h="1" x="67"/>
        <item h="1" x="37"/>
        <item h="1" x="76"/>
        <item h="1" x="43"/>
        <item h="1" x="58"/>
        <item h="1" x="28"/>
        <item h="1" x="33"/>
        <item h="1" x="30"/>
        <item h="1" x="64"/>
        <item h="1" x="12"/>
        <item h="1" x="70"/>
        <item h="1" x="56"/>
        <item h="1" x="17"/>
        <item h="1" x="46"/>
        <item h="1" x="27"/>
        <item h="1" x="3"/>
        <item h="1" x="61"/>
        <item h="1" x="35"/>
        <item h="1" x="41"/>
        <item h="1" x="62"/>
        <item h="1" x="26"/>
        <item h="1" x="40"/>
        <item h="1" x="45"/>
        <item h="1" x="19"/>
        <item h="1" x="81"/>
        <item h="1" x="80"/>
        <item h="1" x="1"/>
        <item h="1" x="57"/>
        <item h="1" x="53"/>
        <item h="1" x="29"/>
        <item h="1" x="38"/>
        <item h="1" x="22"/>
        <item h="1" x="50"/>
        <item h="1" x="47"/>
        <item t="default"/>
      </items>
    </pivotField>
    <pivotField showAll="0"/>
    <pivotField numFmtId="165" showAll="0"/>
    <pivotField numFmtId="9" showAll="0"/>
    <pivotField dataField="1" showAll="0"/>
    <pivotField showAll="0"/>
  </pivotFields>
  <rowFields count="1">
    <field x="5"/>
  </rowFields>
  <rowItems count="9">
    <i>
      <x/>
    </i>
    <i>
      <x v="2"/>
    </i>
    <i>
      <x v="3"/>
    </i>
    <i>
      <x v="14"/>
    </i>
    <i>
      <x v="15"/>
    </i>
    <i>
      <x v="16"/>
    </i>
    <i>
      <x v="21"/>
    </i>
    <i>
      <x v="22"/>
    </i>
    <i t="grand">
      <x/>
    </i>
  </rowItems>
  <colItems count="1">
    <i/>
  </colItems>
  <dataFields count="1">
    <dataField name="Sum of Profit" fld="9"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27AC9C-6E90-47CC-84EA-643A09AB56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7:G17" firstHeaderRow="1" firstDataRow="1" firstDataCol="1"/>
  <pivotFields count="11">
    <pivotField showAll="0"/>
    <pivotField numFmtId="14" showAll="0"/>
    <pivotField axis="axisRow" showAll="0">
      <items count="101">
        <item x="0"/>
        <item x="73"/>
        <item x="72"/>
        <item x="2"/>
        <item x="7"/>
        <item x="3"/>
        <item x="74"/>
        <item x="75"/>
        <item x="76"/>
        <item x="4"/>
        <item x="5"/>
        <item x="77"/>
        <item x="1"/>
        <item x="78"/>
        <item x="6"/>
        <item x="8"/>
        <item x="9"/>
        <item x="10"/>
        <item x="79"/>
        <item x="80"/>
        <item x="11"/>
        <item x="12"/>
        <item x="15"/>
        <item x="81"/>
        <item x="14"/>
        <item x="13"/>
        <item x="82"/>
        <item x="83"/>
        <item x="84"/>
        <item x="17"/>
        <item x="85"/>
        <item x="16"/>
        <item x="18"/>
        <item x="19"/>
        <item x="20"/>
        <item x="86"/>
        <item x="21"/>
        <item x="22"/>
        <item x="23"/>
        <item x="24"/>
        <item x="87"/>
        <item x="25"/>
        <item x="88"/>
        <item x="26"/>
        <item x="28"/>
        <item x="27"/>
        <item x="89"/>
        <item x="30"/>
        <item x="29"/>
        <item x="31"/>
        <item x="32"/>
        <item x="33"/>
        <item x="90"/>
        <item x="34"/>
        <item x="35"/>
        <item x="91"/>
        <item x="37"/>
        <item x="92"/>
        <item x="36"/>
        <item x="38"/>
        <item x="39"/>
        <item x="93"/>
        <item x="43"/>
        <item x="40"/>
        <item x="94"/>
        <item x="42"/>
        <item x="41"/>
        <item x="44"/>
        <item x="46"/>
        <item x="45"/>
        <item x="47"/>
        <item x="48"/>
        <item x="95"/>
        <item x="49"/>
        <item x="50"/>
        <item x="51"/>
        <item x="53"/>
        <item x="97"/>
        <item x="52"/>
        <item x="96"/>
        <item x="54"/>
        <item x="55"/>
        <item x="56"/>
        <item x="57"/>
        <item x="58"/>
        <item x="59"/>
        <item x="60"/>
        <item x="61"/>
        <item x="62"/>
        <item x="98"/>
        <item x="63"/>
        <item x="64"/>
        <item x="65"/>
        <item x="66"/>
        <item x="67"/>
        <item x="68"/>
        <item x="69"/>
        <item x="70"/>
        <item x="71"/>
        <item x="99"/>
        <item t="default"/>
      </items>
    </pivotField>
    <pivotField showAll="0">
      <items count="5">
        <item x="0"/>
        <item x="3"/>
        <item x="2"/>
        <item x="1"/>
        <item t="default"/>
      </items>
    </pivotField>
    <pivotField showAll="0"/>
    <pivotField showAll="0">
      <items count="86">
        <item x="6"/>
        <item h="1" x="16"/>
        <item x="75"/>
        <item x="8"/>
        <item h="1" x="84"/>
        <item h="1" x="18"/>
        <item h="1" x="66"/>
        <item h="1" x="82"/>
        <item h="1" x="21"/>
        <item h="1" x="32"/>
        <item h="1" x="83"/>
        <item h="1" x="9"/>
        <item h="1" x="34"/>
        <item h="1" x="68"/>
        <item x="74"/>
        <item x="7"/>
        <item x="78"/>
        <item h="1" x="72"/>
        <item h="1" x="48"/>
        <item h="1" x="52"/>
        <item h="1" x="54"/>
        <item x="10"/>
        <item x="59"/>
        <item h="1" x="36"/>
        <item h="1" x="15"/>
        <item h="1" x="79"/>
        <item h="1" x="69"/>
        <item h="1" x="13"/>
        <item h="1" x="11"/>
        <item h="1" x="77"/>
        <item h="1" x="31"/>
        <item h="1" x="49"/>
        <item h="1" x="60"/>
        <item h="1" x="14"/>
        <item h="1" x="44"/>
        <item h="1" x="73"/>
        <item h="1" x="25"/>
        <item h="1" x="2"/>
        <item h="1" x="24"/>
        <item h="1" x="42"/>
        <item h="1" x="0"/>
        <item h="1" x="71"/>
        <item h="1" x="23"/>
        <item h="1" x="63"/>
        <item h="1" x="39"/>
        <item h="1" x="51"/>
        <item h="1" x="5"/>
        <item h="1" x="20"/>
        <item h="1" x="65"/>
        <item h="1" x="4"/>
        <item h="1" x="55"/>
        <item h="1" x="67"/>
        <item h="1" x="37"/>
        <item h="1" x="76"/>
        <item h="1" x="43"/>
        <item h="1" x="58"/>
        <item h="1" x="28"/>
        <item h="1" x="33"/>
        <item h="1" x="30"/>
        <item h="1" x="64"/>
        <item h="1" x="12"/>
        <item h="1" x="70"/>
        <item h="1" x="56"/>
        <item h="1" x="17"/>
        <item h="1" x="46"/>
        <item h="1" x="27"/>
        <item h="1" x="3"/>
        <item h="1" x="61"/>
        <item h="1" x="35"/>
        <item h="1" x="41"/>
        <item h="1" x="62"/>
        <item h="1" x="26"/>
        <item h="1" x="40"/>
        <item h="1" x="45"/>
        <item h="1" x="19"/>
        <item h="1" x="81"/>
        <item h="1" x="80"/>
        <item h="1" x="1"/>
        <item h="1" x="57"/>
        <item h="1" x="53"/>
        <item h="1" x="29"/>
        <item h="1" x="38"/>
        <item h="1" x="22"/>
        <item h="1" x="50"/>
        <item h="1" x="47"/>
        <item t="default"/>
      </items>
    </pivotField>
    <pivotField showAll="0"/>
    <pivotField dataField="1" numFmtId="165" showAll="0"/>
    <pivotField numFmtId="9" showAll="0"/>
    <pivotField showAll="0"/>
    <pivotField showAll="0"/>
  </pivotFields>
  <rowFields count="1">
    <field x="2"/>
  </rowFields>
  <rowItems count="10">
    <i>
      <x v="4"/>
    </i>
    <i>
      <x v="14"/>
    </i>
    <i>
      <x v="15"/>
    </i>
    <i>
      <x v="17"/>
    </i>
    <i>
      <x v="19"/>
    </i>
    <i>
      <x v="26"/>
    </i>
    <i>
      <x v="40"/>
    </i>
    <i>
      <x v="86"/>
    </i>
    <i>
      <x v="89"/>
    </i>
    <i t="grand">
      <x/>
    </i>
  </rowItems>
  <colItems count="1">
    <i/>
  </colItems>
  <dataFields count="1">
    <dataField name="Sum of Sales" fld="7" baseField="0" baseItem="0" numFmtId="165"/>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DA0C03-E44D-408E-8E1E-6BC6D291637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C7:D28Row Labels">
  <location ref="C7:D16" firstHeaderRow="1" firstDataRow="1" firstDataCol="1"/>
  <pivotFields count="11">
    <pivotField showAll="0"/>
    <pivotField numFmtId="14" showAll="0"/>
    <pivotField showAll="0">
      <items count="101">
        <item x="0"/>
        <item x="73"/>
        <item x="72"/>
        <item x="2"/>
        <item x="7"/>
        <item x="3"/>
        <item x="74"/>
        <item x="75"/>
        <item x="76"/>
        <item x="4"/>
        <item x="5"/>
        <item x="77"/>
        <item x="1"/>
        <item x="78"/>
        <item x="6"/>
        <item x="8"/>
        <item x="9"/>
        <item x="10"/>
        <item x="79"/>
        <item x="80"/>
        <item x="11"/>
        <item x="12"/>
        <item x="15"/>
        <item x="81"/>
        <item x="14"/>
        <item x="13"/>
        <item x="82"/>
        <item x="83"/>
        <item x="84"/>
        <item x="17"/>
        <item x="85"/>
        <item x="16"/>
        <item x="18"/>
        <item x="19"/>
        <item x="20"/>
        <item x="86"/>
        <item x="21"/>
        <item x="22"/>
        <item x="23"/>
        <item x="24"/>
        <item x="87"/>
        <item x="25"/>
        <item x="88"/>
        <item x="26"/>
        <item x="28"/>
        <item x="27"/>
        <item x="89"/>
        <item x="30"/>
        <item x="29"/>
        <item x="31"/>
        <item x="32"/>
        <item x="33"/>
        <item x="90"/>
        <item x="34"/>
        <item x="35"/>
        <item x="91"/>
        <item x="37"/>
        <item x="92"/>
        <item x="36"/>
        <item x="38"/>
        <item x="39"/>
        <item x="93"/>
        <item x="43"/>
        <item x="40"/>
        <item x="94"/>
        <item x="42"/>
        <item x="41"/>
        <item x="44"/>
        <item x="46"/>
        <item x="45"/>
        <item x="47"/>
        <item x="48"/>
        <item x="95"/>
        <item x="49"/>
        <item x="50"/>
        <item x="51"/>
        <item x="53"/>
        <item x="97"/>
        <item x="52"/>
        <item x="96"/>
        <item x="54"/>
        <item x="55"/>
        <item x="56"/>
        <item x="57"/>
        <item x="58"/>
        <item x="59"/>
        <item x="60"/>
        <item x="61"/>
        <item x="62"/>
        <item x="98"/>
        <item x="63"/>
        <item x="64"/>
        <item x="65"/>
        <item x="66"/>
        <item x="67"/>
        <item x="68"/>
        <item x="69"/>
        <item x="70"/>
        <item x="71"/>
        <item x="99"/>
        <item t="default"/>
      </items>
    </pivotField>
    <pivotField showAll="0">
      <items count="5">
        <item x="0"/>
        <item x="3"/>
        <item x="2"/>
        <item x="1"/>
        <item t="default"/>
      </items>
    </pivotField>
    <pivotField showAll="0"/>
    <pivotField axis="axisRow" showAll="0">
      <items count="86">
        <item x="6"/>
        <item h="1" x="16"/>
        <item x="75"/>
        <item x="8"/>
        <item h="1" x="84"/>
        <item h="1" x="18"/>
        <item h="1" x="66"/>
        <item h="1" x="82"/>
        <item h="1" x="21"/>
        <item h="1" x="32"/>
        <item h="1" x="83"/>
        <item h="1" x="9"/>
        <item h="1" x="34"/>
        <item h="1" x="68"/>
        <item x="74"/>
        <item x="7"/>
        <item x="78"/>
        <item h="1" x="72"/>
        <item h="1" x="48"/>
        <item h="1" x="52"/>
        <item h="1" x="54"/>
        <item x="10"/>
        <item x="59"/>
        <item h="1" x="36"/>
        <item h="1" x="15"/>
        <item h="1" x="79"/>
        <item h="1" x="69"/>
        <item h="1" x="13"/>
        <item h="1" x="11"/>
        <item h="1" x="77"/>
        <item h="1" x="31"/>
        <item h="1" x="49"/>
        <item h="1" x="60"/>
        <item h="1" x="14"/>
        <item h="1" x="44"/>
        <item h="1" x="73"/>
        <item h="1" x="25"/>
        <item h="1" x="2"/>
        <item h="1" x="24"/>
        <item h="1" x="42"/>
        <item h="1" x="0"/>
        <item h="1" x="71"/>
        <item h="1" x="23"/>
        <item h="1" x="63"/>
        <item h="1" x="39"/>
        <item h="1" x="51"/>
        <item h="1" x="5"/>
        <item h="1" x="20"/>
        <item h="1" x="65"/>
        <item h="1" x="4"/>
        <item h="1" x="55"/>
        <item h="1" x="67"/>
        <item h="1" x="37"/>
        <item h="1" x="76"/>
        <item h="1" x="43"/>
        <item h="1" x="58"/>
        <item h="1" x="28"/>
        <item h="1" x="33"/>
        <item h="1" x="30"/>
        <item h="1" x="64"/>
        <item h="1" x="12"/>
        <item h="1" x="70"/>
        <item h="1" x="56"/>
        <item h="1" x="17"/>
        <item h="1" x="46"/>
        <item h="1" x="27"/>
        <item h="1" x="3"/>
        <item h="1" x="61"/>
        <item h="1" x="35"/>
        <item h="1" x="41"/>
        <item h="1" x="62"/>
        <item h="1" x="26"/>
        <item h="1" x="40"/>
        <item h="1" x="45"/>
        <item h="1" x="19"/>
        <item h="1" x="81"/>
        <item h="1" x="80"/>
        <item h="1" x="1"/>
        <item h="1" x="57"/>
        <item h="1" x="53"/>
        <item h="1" x="29"/>
        <item h="1" x="38"/>
        <item h="1" x="22"/>
        <item h="1" x="50"/>
        <item h="1" x="47"/>
        <item t="default"/>
      </items>
    </pivotField>
    <pivotField showAll="0"/>
    <pivotField dataField="1" numFmtId="165" showAll="0"/>
    <pivotField numFmtId="9" showAll="0"/>
    <pivotField showAll="0"/>
    <pivotField showAll="0"/>
  </pivotFields>
  <rowFields count="1">
    <field x="5"/>
  </rowFields>
  <rowItems count="9">
    <i>
      <x/>
    </i>
    <i>
      <x v="2"/>
    </i>
    <i>
      <x v="3"/>
    </i>
    <i>
      <x v="14"/>
    </i>
    <i>
      <x v="15"/>
    </i>
    <i>
      <x v="16"/>
    </i>
    <i>
      <x v="21"/>
    </i>
    <i>
      <x v="22"/>
    </i>
    <i t="grand">
      <x/>
    </i>
  </rowItems>
  <colItems count="1">
    <i/>
  </colItems>
  <dataFields count="1">
    <dataField name="Sum of Sales" fld="7" baseField="0" baseItem="0" numFmtId="165"/>
  </dataFields>
  <chartFormats count="4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84"/>
          </reference>
        </references>
      </pivotArea>
    </chartFormat>
    <chartFormat chart="3" format="2">
      <pivotArea type="data" outline="0" fieldPosition="0">
        <references count="2">
          <reference field="4294967294" count="1" selected="0">
            <x v="0"/>
          </reference>
          <reference field="5" count="1" selected="0">
            <x v="83"/>
          </reference>
        </references>
      </pivotArea>
    </chartFormat>
    <chartFormat chart="3" format="3">
      <pivotArea type="data" outline="0" fieldPosition="0">
        <references count="2">
          <reference field="4294967294" count="1" selected="0">
            <x v="0"/>
          </reference>
          <reference field="5" count="1" selected="0">
            <x v="82"/>
          </reference>
        </references>
      </pivotArea>
    </chartFormat>
    <chartFormat chart="3" format="4">
      <pivotArea type="data" outline="0" fieldPosition="0">
        <references count="2">
          <reference field="4294967294" count="1" selected="0">
            <x v="0"/>
          </reference>
          <reference field="5" count="1" selected="0">
            <x v="81"/>
          </reference>
        </references>
      </pivotArea>
    </chartFormat>
    <chartFormat chart="3" format="5">
      <pivotArea type="data" outline="0" fieldPosition="0">
        <references count="2">
          <reference field="4294967294" count="1" selected="0">
            <x v="0"/>
          </reference>
          <reference field="5" count="1" selected="0">
            <x v="80"/>
          </reference>
        </references>
      </pivotArea>
    </chartFormat>
    <chartFormat chart="3" format="6">
      <pivotArea type="data" outline="0" fieldPosition="0">
        <references count="2">
          <reference field="4294967294" count="1" selected="0">
            <x v="0"/>
          </reference>
          <reference field="5" count="1" selected="0">
            <x v="78"/>
          </reference>
        </references>
      </pivotArea>
    </chartFormat>
    <chartFormat chart="3" format="7">
      <pivotArea type="data" outline="0" fieldPosition="0">
        <references count="2">
          <reference field="4294967294" count="1" selected="0">
            <x v="0"/>
          </reference>
          <reference field="5" count="1" selected="0">
            <x v="77"/>
          </reference>
        </references>
      </pivotArea>
    </chartFormat>
    <chartFormat chart="3" format="8">
      <pivotArea type="data" outline="0" fieldPosition="0">
        <references count="2">
          <reference field="4294967294" count="1" selected="0">
            <x v="0"/>
          </reference>
          <reference field="5" count="1" selected="0">
            <x v="76"/>
          </reference>
        </references>
      </pivotArea>
    </chartFormat>
    <chartFormat chart="3" format="9">
      <pivotArea type="data" outline="0" fieldPosition="0">
        <references count="2">
          <reference field="4294967294" count="1" selected="0">
            <x v="0"/>
          </reference>
          <reference field="5" count="1" selected="0">
            <x v="74"/>
          </reference>
        </references>
      </pivotArea>
    </chartFormat>
    <chartFormat chart="3" format="10">
      <pivotArea type="data" outline="0" fieldPosition="0">
        <references count="2">
          <reference field="4294967294" count="1" selected="0">
            <x v="0"/>
          </reference>
          <reference field="5" count="1" selected="0">
            <x v="73"/>
          </reference>
        </references>
      </pivotArea>
    </chartFormat>
    <chartFormat chart="3" format="11">
      <pivotArea type="data" outline="0" fieldPosition="0">
        <references count="2">
          <reference field="4294967294" count="1" selected="0">
            <x v="0"/>
          </reference>
          <reference field="5" count="1" selected="0">
            <x v="72"/>
          </reference>
        </references>
      </pivotArea>
    </chartFormat>
    <chartFormat chart="3" format="12">
      <pivotArea type="data" outline="0" fieldPosition="0">
        <references count="2">
          <reference field="4294967294" count="1" selected="0">
            <x v="0"/>
          </reference>
          <reference field="5" count="1" selected="0">
            <x v="75"/>
          </reference>
        </references>
      </pivotArea>
    </chartFormat>
    <chartFormat chart="3" format="13">
      <pivotArea type="data" outline="0" fieldPosition="0">
        <references count="2">
          <reference field="4294967294" count="1" selected="0">
            <x v="0"/>
          </reference>
          <reference field="5" count="1" selected="0">
            <x v="79"/>
          </reference>
        </references>
      </pivotArea>
    </chartFormat>
    <chartFormat chart="3" format="14">
      <pivotArea type="data" outline="0" fieldPosition="0">
        <references count="2">
          <reference field="4294967294" count="1" selected="0">
            <x v="0"/>
          </reference>
          <reference field="5" count="1" selected="0">
            <x v="71"/>
          </reference>
        </references>
      </pivotArea>
    </chartFormat>
    <chartFormat chart="3" format="15">
      <pivotArea type="data" outline="0" fieldPosition="0">
        <references count="2">
          <reference field="4294967294" count="1" selected="0">
            <x v="0"/>
          </reference>
          <reference field="5" count="1" selected="0">
            <x v="70"/>
          </reference>
        </references>
      </pivotArea>
    </chartFormat>
    <chartFormat chart="3" format="16">
      <pivotArea type="data" outline="0" fieldPosition="0">
        <references count="2">
          <reference field="4294967294" count="1" selected="0">
            <x v="0"/>
          </reference>
          <reference field="5" count="1" selected="0">
            <x v="69"/>
          </reference>
        </references>
      </pivotArea>
    </chartFormat>
    <chartFormat chart="3" format="17">
      <pivotArea type="data" outline="0" fieldPosition="0">
        <references count="2">
          <reference field="4294967294" count="1" selected="0">
            <x v="0"/>
          </reference>
          <reference field="5" count="1" selected="0">
            <x v="68"/>
          </reference>
        </references>
      </pivotArea>
    </chartFormat>
    <chartFormat chart="3" format="18">
      <pivotArea type="data" outline="0" fieldPosition="0">
        <references count="2">
          <reference field="4294967294" count="1" selected="0">
            <x v="0"/>
          </reference>
          <reference field="5" count="1" selected="0">
            <x v="67"/>
          </reference>
        </references>
      </pivotArea>
    </chartFormat>
    <chartFormat chart="3" format="19">
      <pivotArea type="data" outline="0" fieldPosition="0">
        <references count="2">
          <reference field="4294967294" count="1" selected="0">
            <x v="0"/>
          </reference>
          <reference field="5" count="1" selected="0">
            <x v="66"/>
          </reference>
        </references>
      </pivotArea>
    </chartFormat>
    <chartFormat chart="3" format="20">
      <pivotArea type="data" outline="0" fieldPosition="0">
        <references count="2">
          <reference field="4294967294" count="1" selected="0">
            <x v="0"/>
          </reference>
          <reference field="5" count="1" selected="0">
            <x v="65"/>
          </reference>
        </references>
      </pivotArea>
    </chartFormat>
    <chartFormat chart="3" format="21">
      <pivotArea type="data" outline="0" fieldPosition="0">
        <references count="2">
          <reference field="4294967294" count="1" selected="0">
            <x v="0"/>
          </reference>
          <reference field="5" count="1" selected="0">
            <x v="64"/>
          </reference>
        </references>
      </pivotArea>
    </chartFormat>
    <chartFormat chart="3" format="22">
      <pivotArea type="data" outline="0" fieldPosition="0">
        <references count="2">
          <reference field="4294967294" count="1" selected="0">
            <x v="0"/>
          </reference>
          <reference field="5" count="1" selected="0">
            <x v="63"/>
          </reference>
        </references>
      </pivotArea>
    </chartFormat>
    <chartFormat chart="3" format="23">
      <pivotArea type="data" outline="0" fieldPosition="0">
        <references count="2">
          <reference field="4294967294" count="1" selected="0">
            <x v="0"/>
          </reference>
          <reference field="5" count="1" selected="0">
            <x v="62"/>
          </reference>
        </references>
      </pivotArea>
    </chartFormat>
    <chartFormat chart="3" format="24">
      <pivotArea type="data" outline="0" fieldPosition="0">
        <references count="2">
          <reference field="4294967294" count="1" selected="0">
            <x v="0"/>
          </reference>
          <reference field="5" count="1" selected="0">
            <x v="61"/>
          </reference>
        </references>
      </pivotArea>
    </chartFormat>
    <chartFormat chart="3" format="25">
      <pivotArea type="data" outline="0" fieldPosition="0">
        <references count="2">
          <reference field="4294967294" count="1" selected="0">
            <x v="0"/>
          </reference>
          <reference field="5" count="1" selected="0">
            <x v="60"/>
          </reference>
        </references>
      </pivotArea>
    </chartFormat>
    <chartFormat chart="3" format="26">
      <pivotArea type="data" outline="0" fieldPosition="0">
        <references count="2">
          <reference field="4294967294" count="1" selected="0">
            <x v="0"/>
          </reference>
          <reference field="5" count="1" selected="0">
            <x v="59"/>
          </reference>
        </references>
      </pivotArea>
    </chartFormat>
    <chartFormat chart="3" format="27">
      <pivotArea type="data" outline="0" fieldPosition="0">
        <references count="2">
          <reference field="4294967294" count="1" selected="0">
            <x v="0"/>
          </reference>
          <reference field="5" count="1" selected="0">
            <x v="58"/>
          </reference>
        </references>
      </pivotArea>
    </chartFormat>
    <chartFormat chart="3" format="28">
      <pivotArea type="data" outline="0" fieldPosition="0">
        <references count="2">
          <reference field="4294967294" count="1" selected="0">
            <x v="0"/>
          </reference>
          <reference field="5" count="1" selected="0">
            <x v="57"/>
          </reference>
        </references>
      </pivotArea>
    </chartFormat>
    <chartFormat chart="3" format="29">
      <pivotArea type="data" outline="0" fieldPosition="0">
        <references count="2">
          <reference field="4294967294" count="1" selected="0">
            <x v="0"/>
          </reference>
          <reference field="5" count="1" selected="0">
            <x v="56"/>
          </reference>
        </references>
      </pivotArea>
    </chartFormat>
    <chartFormat chart="3" format="30">
      <pivotArea type="data" outline="0" fieldPosition="0">
        <references count="2">
          <reference field="4294967294" count="1" selected="0">
            <x v="0"/>
          </reference>
          <reference field="5" count="1" selected="0">
            <x v="55"/>
          </reference>
        </references>
      </pivotArea>
    </chartFormat>
    <chartFormat chart="3" format="31">
      <pivotArea type="data" outline="0" fieldPosition="0">
        <references count="2">
          <reference field="4294967294" count="1" selected="0">
            <x v="0"/>
          </reference>
          <reference field="5" count="1" selected="0">
            <x v="54"/>
          </reference>
        </references>
      </pivotArea>
    </chartFormat>
    <chartFormat chart="3" format="32">
      <pivotArea type="data" outline="0" fieldPosition="0">
        <references count="2">
          <reference field="4294967294" count="1" selected="0">
            <x v="0"/>
          </reference>
          <reference field="5" count="1" selected="0">
            <x v="53"/>
          </reference>
        </references>
      </pivotArea>
    </chartFormat>
    <chartFormat chart="3" format="33">
      <pivotArea type="data" outline="0" fieldPosition="0">
        <references count="2">
          <reference field="4294967294" count="1" selected="0">
            <x v="0"/>
          </reference>
          <reference field="5" count="1" selected="0">
            <x v="52"/>
          </reference>
        </references>
      </pivotArea>
    </chartFormat>
    <chartFormat chart="3" format="34">
      <pivotArea type="data" outline="0" fieldPosition="0">
        <references count="2">
          <reference field="4294967294" count="1" selected="0">
            <x v="0"/>
          </reference>
          <reference field="5" count="1" selected="0">
            <x v="51"/>
          </reference>
        </references>
      </pivotArea>
    </chartFormat>
    <chartFormat chart="3" format="35">
      <pivotArea type="data" outline="0" fieldPosition="0">
        <references count="2">
          <reference field="4294967294" count="1" selected="0">
            <x v="0"/>
          </reference>
          <reference field="5" count="1" selected="0">
            <x v="49"/>
          </reference>
        </references>
      </pivotArea>
    </chartFormat>
    <chartFormat chart="3" format="36">
      <pivotArea type="data" outline="0" fieldPosition="0">
        <references count="2">
          <reference field="4294967294" count="1" selected="0">
            <x v="0"/>
          </reference>
          <reference field="5" count="1" selected="0">
            <x v="48"/>
          </reference>
        </references>
      </pivotArea>
    </chartFormat>
    <chartFormat chart="3" format="37">
      <pivotArea type="data" outline="0" fieldPosition="0">
        <references count="2">
          <reference field="4294967294" count="1" selected="0">
            <x v="0"/>
          </reference>
          <reference field="5" count="1" selected="0">
            <x v="47"/>
          </reference>
        </references>
      </pivotArea>
    </chartFormat>
    <chartFormat chart="3" format="38">
      <pivotArea type="data" outline="0" fieldPosition="0">
        <references count="2">
          <reference field="4294967294" count="1" selected="0">
            <x v="0"/>
          </reference>
          <reference field="5" count="1" selected="0">
            <x v="46"/>
          </reference>
        </references>
      </pivotArea>
    </chartFormat>
    <chartFormat chart="3" format="39">
      <pivotArea type="data" outline="0" fieldPosition="0">
        <references count="2">
          <reference field="4294967294" count="1" selected="0">
            <x v="0"/>
          </reference>
          <reference field="5" count="1" selected="0">
            <x v="45"/>
          </reference>
        </references>
      </pivotArea>
    </chartFormat>
    <chartFormat chart="3" format="40">
      <pivotArea type="data" outline="0" fieldPosition="0">
        <references count="2">
          <reference field="4294967294" count="1" selected="0">
            <x v="0"/>
          </reference>
          <reference field="5" count="1" selected="0">
            <x v="44"/>
          </reference>
        </references>
      </pivotArea>
    </chartFormat>
    <chartFormat chart="5" format="41" series="1">
      <pivotArea type="data" outline="0" fieldPosition="0">
        <references count="1">
          <reference field="4294967294" count="1" selected="0">
            <x v="0"/>
          </reference>
        </references>
      </pivotArea>
    </chartFormat>
    <chartFormat chart="6"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9335F3-B4C3-4A5B-9A1C-FF7B217C6A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1">
    <pivotField showAll="0"/>
    <pivotField numFmtId="14" showAll="0"/>
    <pivotField showAll="0">
      <items count="101">
        <item x="0"/>
        <item x="73"/>
        <item x="72"/>
        <item x="2"/>
        <item x="7"/>
        <item x="3"/>
        <item x="74"/>
        <item x="75"/>
        <item x="76"/>
        <item x="4"/>
        <item x="5"/>
        <item x="77"/>
        <item x="1"/>
        <item x="78"/>
        <item x="6"/>
        <item x="8"/>
        <item x="9"/>
        <item x="10"/>
        <item x="79"/>
        <item x="80"/>
        <item x="11"/>
        <item x="12"/>
        <item x="15"/>
        <item x="81"/>
        <item x="14"/>
        <item x="13"/>
        <item x="82"/>
        <item x="83"/>
        <item x="84"/>
        <item x="17"/>
        <item x="85"/>
        <item x="16"/>
        <item x="18"/>
        <item x="19"/>
        <item x="20"/>
        <item x="86"/>
        <item x="21"/>
        <item x="22"/>
        <item x="23"/>
        <item x="24"/>
        <item x="87"/>
        <item x="25"/>
        <item x="88"/>
        <item x="26"/>
        <item x="28"/>
        <item x="27"/>
        <item x="89"/>
        <item x="30"/>
        <item x="29"/>
        <item x="31"/>
        <item x="32"/>
        <item x="33"/>
        <item x="90"/>
        <item x="34"/>
        <item x="35"/>
        <item x="91"/>
        <item x="37"/>
        <item x="92"/>
        <item x="36"/>
        <item x="38"/>
        <item x="39"/>
        <item x="93"/>
        <item x="43"/>
        <item x="40"/>
        <item x="94"/>
        <item x="42"/>
        <item x="41"/>
        <item x="44"/>
        <item x="46"/>
        <item x="45"/>
        <item x="47"/>
        <item x="48"/>
        <item x="95"/>
        <item x="49"/>
        <item x="50"/>
        <item x="51"/>
        <item x="53"/>
        <item x="97"/>
        <item x="52"/>
        <item x="96"/>
        <item x="54"/>
        <item x="55"/>
        <item x="56"/>
        <item x="57"/>
        <item x="58"/>
        <item x="59"/>
        <item x="60"/>
        <item x="61"/>
        <item x="62"/>
        <item x="98"/>
        <item x="63"/>
        <item x="64"/>
        <item x="65"/>
        <item x="66"/>
        <item x="67"/>
        <item x="68"/>
        <item x="69"/>
        <item x="70"/>
        <item x="71"/>
        <item x="99"/>
        <item t="default"/>
      </items>
    </pivotField>
    <pivotField axis="axisRow" showAll="0">
      <items count="5">
        <item x="0"/>
        <item x="3"/>
        <item x="2"/>
        <item x="1"/>
        <item t="default"/>
      </items>
    </pivotField>
    <pivotField showAll="0"/>
    <pivotField showAll="0">
      <items count="86">
        <item x="6"/>
        <item h="1" x="16"/>
        <item x="75"/>
        <item x="8"/>
        <item h="1" x="84"/>
        <item h="1" x="18"/>
        <item h="1" x="66"/>
        <item h="1" x="82"/>
        <item h="1" x="21"/>
        <item h="1" x="32"/>
        <item h="1" x="83"/>
        <item h="1" x="9"/>
        <item h="1" x="34"/>
        <item h="1" x="68"/>
        <item x="74"/>
        <item x="7"/>
        <item x="78"/>
        <item h="1" x="72"/>
        <item h="1" x="48"/>
        <item h="1" x="52"/>
        <item h="1" x="54"/>
        <item x="10"/>
        <item x="59"/>
        <item h="1" x="36"/>
        <item h="1" x="15"/>
        <item h="1" x="79"/>
        <item h="1" x="69"/>
        <item h="1" x="13"/>
        <item h="1" x="11"/>
        <item h="1" x="77"/>
        <item h="1" x="31"/>
        <item h="1" x="49"/>
        <item h="1" x="60"/>
        <item h="1" x="14"/>
        <item h="1" x="44"/>
        <item h="1" x="73"/>
        <item h="1" x="25"/>
        <item h="1" x="2"/>
        <item h="1" x="24"/>
        <item h="1" x="42"/>
        <item h="1" x="0"/>
        <item h="1" x="71"/>
        <item h="1" x="23"/>
        <item h="1" x="63"/>
        <item h="1" x="39"/>
        <item h="1" x="51"/>
        <item h="1" x="5"/>
        <item h="1" x="20"/>
        <item h="1" x="65"/>
        <item h="1" x="4"/>
        <item h="1" x="55"/>
        <item h="1" x="67"/>
        <item h="1" x="37"/>
        <item h="1" x="76"/>
        <item h="1" x="43"/>
        <item h="1" x="58"/>
        <item h="1" x="28"/>
        <item h="1" x="33"/>
        <item h="1" x="30"/>
        <item h="1" x="64"/>
        <item h="1" x="12"/>
        <item h="1" x="70"/>
        <item h="1" x="56"/>
        <item h="1" x="17"/>
        <item h="1" x="46"/>
        <item h="1" x="27"/>
        <item h="1" x="3"/>
        <item h="1" x="61"/>
        <item h="1" x="35"/>
        <item h="1" x="41"/>
        <item h="1" x="62"/>
        <item h="1" x="26"/>
        <item h="1" x="40"/>
        <item h="1" x="45"/>
        <item h="1" x="19"/>
        <item h="1" x="81"/>
        <item h="1" x="80"/>
        <item h="1" x="1"/>
        <item h="1" x="57"/>
        <item h="1" x="53"/>
        <item h="1" x="29"/>
        <item h="1" x="38"/>
        <item h="1" x="22"/>
        <item h="1" x="50"/>
        <item h="1" x="47"/>
        <item t="default"/>
      </items>
    </pivotField>
    <pivotField showAll="0"/>
    <pivotField dataField="1" numFmtId="165" showAll="0"/>
    <pivotField numFmtId="9" showAll="0"/>
    <pivotField showAll="0"/>
    <pivotField showAll="0"/>
  </pivotFields>
  <rowFields count="1">
    <field x="3"/>
  </rowFields>
  <rowItems count="5">
    <i>
      <x/>
    </i>
    <i>
      <x v="1"/>
    </i>
    <i>
      <x v="2"/>
    </i>
    <i>
      <x v="3"/>
    </i>
    <i t="grand">
      <x/>
    </i>
  </rowItems>
  <colItems count="1">
    <i/>
  </colItems>
  <dataFields count="1">
    <dataField name="Sum of Sales" fld="7" baseField="0" baseItem="0" numFmtId="165"/>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 chart="5" format="13">
      <pivotArea type="data" outline="0" fieldPosition="0">
        <references count="2">
          <reference field="4294967294" count="1" selected="0">
            <x v="0"/>
          </reference>
          <reference field="3" count="1" selected="0">
            <x v="2"/>
          </reference>
        </references>
      </pivotArea>
    </chartFormat>
    <chartFormat chart="5"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D3F6CBBE-F630-4561-AF43-033906144401}" sourceName="Customer">
  <pivotTables>
    <pivotTable tabId="2" name="PivotTable1"/>
    <pivotTable tabId="2" name="PivotTable2"/>
    <pivotTable tabId="2" name="PivotTable3"/>
    <pivotTable tabId="2" name="PivotTable4"/>
  </pivotTables>
  <data>
    <tabular pivotCacheId="362928567">
      <items count="100">
        <i x="7" s="1"/>
        <i x="6" s="1"/>
        <i x="8" s="1"/>
        <i x="10" s="1"/>
        <i x="80" s="1"/>
        <i x="82" s="1"/>
        <i x="87" s="1"/>
        <i x="60" s="1"/>
        <i x="98" s="1"/>
        <i x="0" s="1" nd="1"/>
        <i x="73" s="1" nd="1"/>
        <i x="72" s="1" nd="1"/>
        <i x="2" s="1" nd="1"/>
        <i x="3" s="1" nd="1"/>
        <i x="74" s="1" nd="1"/>
        <i x="75" s="1" nd="1"/>
        <i x="76" s="1" nd="1"/>
        <i x="4" s="1" nd="1"/>
        <i x="5" s="1" nd="1"/>
        <i x="77" s="1" nd="1"/>
        <i x="1" s="1" nd="1"/>
        <i x="78" s="1" nd="1"/>
        <i x="9" s="1" nd="1"/>
        <i x="79" s="1" nd="1"/>
        <i x="11" s="1" nd="1"/>
        <i x="12" s="1" nd="1"/>
        <i x="15" s="1" nd="1"/>
        <i x="81" s="1" nd="1"/>
        <i x="14" s="1" nd="1"/>
        <i x="13" s="1" nd="1"/>
        <i x="83" s="1" nd="1"/>
        <i x="84" s="1" nd="1"/>
        <i x="17" s="1" nd="1"/>
        <i x="85" s="1" nd="1"/>
        <i x="16" s="1" nd="1"/>
        <i x="18" s="1" nd="1"/>
        <i x="19" s="1" nd="1"/>
        <i x="20" s="1" nd="1"/>
        <i x="86" s="1" nd="1"/>
        <i x="21" s="1" nd="1"/>
        <i x="22" s="1" nd="1"/>
        <i x="23" s="1" nd="1"/>
        <i x="24" s="1" nd="1"/>
        <i x="25" s="1" nd="1"/>
        <i x="88" s="1" nd="1"/>
        <i x="26" s="1" nd="1"/>
        <i x="28" s="1" nd="1"/>
        <i x="27" s="1" nd="1"/>
        <i x="89" s="1" nd="1"/>
        <i x="30" s="1" nd="1"/>
        <i x="29" s="1" nd="1"/>
        <i x="31" s="1" nd="1"/>
        <i x="32" s="1" nd="1"/>
        <i x="33" s="1" nd="1"/>
        <i x="90" s="1" nd="1"/>
        <i x="34" s="1" nd="1"/>
        <i x="35" s="1" nd="1"/>
        <i x="91" s="1" nd="1"/>
        <i x="37" s="1" nd="1"/>
        <i x="92" s="1" nd="1"/>
        <i x="36" s="1" nd="1"/>
        <i x="38" s="1" nd="1"/>
        <i x="39" s="1" nd="1"/>
        <i x="93" s="1" nd="1"/>
        <i x="43" s="1" nd="1"/>
        <i x="40" s="1" nd="1"/>
        <i x="94" s="1" nd="1"/>
        <i x="42" s="1" nd="1"/>
        <i x="41" s="1" nd="1"/>
        <i x="44" s="1" nd="1"/>
        <i x="46" s="1" nd="1"/>
        <i x="45" s="1" nd="1"/>
        <i x="47" s="1" nd="1"/>
        <i x="48" s="1" nd="1"/>
        <i x="95" s="1" nd="1"/>
        <i x="49" s="1" nd="1"/>
        <i x="50" s="1" nd="1"/>
        <i x="51" s="1" nd="1"/>
        <i x="53" s="1" nd="1"/>
        <i x="97" s="1" nd="1"/>
        <i x="52" s="1" nd="1"/>
        <i x="96" s="1" nd="1"/>
        <i x="54" s="1" nd="1"/>
        <i x="55" s="1" nd="1"/>
        <i x="56" s="1" nd="1"/>
        <i x="57" s="1" nd="1"/>
        <i x="58" s="1" nd="1"/>
        <i x="59" s="1" nd="1"/>
        <i x="61" s="1" nd="1"/>
        <i x="62" s="1" nd="1"/>
        <i x="63" s="1" nd="1"/>
        <i x="64" s="1" nd="1"/>
        <i x="65" s="1" nd="1"/>
        <i x="66" s="1" nd="1"/>
        <i x="67" s="1" nd="1"/>
        <i x="68" s="1" nd="1"/>
        <i x="69" s="1" nd="1"/>
        <i x="70" s="1" nd="1"/>
        <i x="71" s="1" nd="1"/>
        <i x="9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ED11FB-80A4-48B1-9A17-364984A6C76C}" sourceName="Region">
  <pivotTables>
    <pivotTable tabId="2" name="PivotTable1"/>
    <pivotTable tabId="2" name="PivotTable2"/>
    <pivotTable tabId="2" name="PivotTable3"/>
    <pivotTable tabId="2" name="PivotTable4"/>
  </pivotTables>
  <data>
    <tabular pivotCacheId="362928567">
      <items count="4">
        <i x="0" s="1"/>
        <i x="3" s="1"/>
        <i x="2"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980DA50-D4CB-4C52-86BF-90F821EEAB37}" sourceName="Product">
  <pivotTables>
    <pivotTable tabId="2" name="PivotTable1"/>
    <pivotTable tabId="2" name="PivotTable2"/>
    <pivotTable tabId="2" name="PivotTable3"/>
    <pivotTable tabId="2" name="PivotTable4"/>
  </pivotTables>
  <data>
    <tabular pivotCacheId="362928567">
      <items count="85">
        <i x="6" s="1"/>
        <i x="16"/>
        <i x="75" s="1"/>
        <i x="8" s="1"/>
        <i x="84"/>
        <i x="18"/>
        <i x="66"/>
        <i x="82"/>
        <i x="21"/>
        <i x="32"/>
        <i x="83"/>
        <i x="9"/>
        <i x="34"/>
        <i x="68"/>
        <i x="74" s="1"/>
        <i x="7" s="1"/>
        <i x="78" s="1"/>
        <i x="72"/>
        <i x="48"/>
        <i x="52"/>
        <i x="54"/>
        <i x="10" s="1"/>
        <i x="59" s="1"/>
        <i x="36"/>
        <i x="15"/>
        <i x="79"/>
        <i x="69"/>
        <i x="13"/>
        <i x="11"/>
        <i x="77"/>
        <i x="31"/>
        <i x="49"/>
        <i x="60"/>
        <i x="14"/>
        <i x="44"/>
        <i x="73"/>
        <i x="25"/>
        <i x="2"/>
        <i x="24"/>
        <i x="42"/>
        <i x="0"/>
        <i x="71"/>
        <i x="23"/>
        <i x="63"/>
        <i x="39"/>
        <i x="51"/>
        <i x="5"/>
        <i x="20"/>
        <i x="65"/>
        <i x="4"/>
        <i x="55"/>
        <i x="67"/>
        <i x="37"/>
        <i x="76"/>
        <i x="43"/>
        <i x="58"/>
        <i x="28"/>
        <i x="33"/>
        <i x="30"/>
        <i x="64"/>
        <i x="12"/>
        <i x="70"/>
        <i x="56"/>
        <i x="17"/>
        <i x="46"/>
        <i x="27"/>
        <i x="3"/>
        <i x="61"/>
        <i x="35"/>
        <i x="41"/>
        <i x="62"/>
        <i x="26"/>
        <i x="40"/>
        <i x="45"/>
        <i x="19"/>
        <i x="81"/>
        <i x="80"/>
        <i x="1"/>
        <i x="57"/>
        <i x="53"/>
        <i x="29"/>
        <i x="38"/>
        <i x="22"/>
        <i x="50"/>
        <i x="4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FE999DFB-85D2-402A-AEBE-1AF6D0779F01}" cache="Slicer_Customer" caption="Customer" rowHeight="257175"/>
  <slicer name="Region" xr10:uid="{069BE30C-E6D2-4D21-8FFA-55B2AB3493EE}" cache="Slicer_Region" caption="Region" columnCount="2" showCaption="0" rowHeight="257175"/>
  <slicer name="Product" xr10:uid="{9941DD43-0B28-4A07-BA6A-035534425411}" cache="Slicer_Product" caption="Produc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1" xr10:uid="{08E44251-CA33-4926-B39F-D0D7EF47A131}" cache="Slicer_Customer" caption="Customer" style="SlicerStyleDark1" rowHeight="257175"/>
  <slicer name="Region 1" xr10:uid="{2F0EA142-B9C4-4C46-A58B-4ED9C9EAFD8F}" cache="Slicer_Region" caption="Region" columnCount="2" showCaption="0" style="SlicerStyleDark1" rowHeight="257175"/>
  <slicer name="Product 1" xr10:uid="{F6579405-6072-48A3-B0A4-71ED45B8598B}" cache="Slicer_Product" caption="Product"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BBFBD7-9723-450C-AAD9-A01CDB256157}" name="Table1" displayName="Table1" ref="A2:K102" totalsRowShown="0" headerRowDxfId="15" dataDxfId="13" headerRowBorderDxfId="14" tableBorderDxfId="12" totalsRowBorderDxfId="11">
  <autoFilter ref="A2:K102" xr:uid="{20BBFBD7-9723-450C-AAD9-A01CDB256157}"/>
  <tableColumns count="11">
    <tableColumn id="1" xr3:uid="{CC1526C5-BEC8-4A74-B29F-C0BC708D8D01}" name="Order ID" dataDxfId="10"/>
    <tableColumn id="2" xr3:uid="{FB508505-53AF-459F-991F-556FCEF6D4C1}" name="Order Date" dataDxfId="9"/>
    <tableColumn id="3" xr3:uid="{4B17C073-FA96-4F25-B818-A527ACCD23B0}" name="Customer" dataDxfId="8" dataCellStyle="Currency"/>
    <tableColumn id="4" xr3:uid="{4B0B255E-9D88-44C5-8075-C323CB4F4C6F}" name="Region" dataDxfId="7"/>
    <tableColumn id="5" xr3:uid="{A5964F6A-CC87-4414-9268-34C591C98914}" name="Category" dataDxfId="6"/>
    <tableColumn id="6" xr3:uid="{47E65E7A-7047-47C2-8369-F5D89BEFD840}" name="Product" dataDxfId="5"/>
    <tableColumn id="7" xr3:uid="{95D8A6F5-E381-45F8-A011-737D06F4512F}" name="Quantity" dataDxfId="4"/>
    <tableColumn id="8" xr3:uid="{9C94C438-8C33-4505-8DC2-EA1FCFADFE88}" name="Sales" dataDxfId="3" dataCellStyle="Comma"/>
    <tableColumn id="9" xr3:uid="{1925C0CD-9130-42D8-8886-86C053A77EA1}" name="Discount" dataDxfId="2" dataCellStyle="Percent"/>
    <tableColumn id="10" xr3:uid="{BD303AC4-6299-4D63-8AD2-72D2526629C7}" name="Profit" dataDxfId="1"/>
    <tableColumn id="11" xr3:uid="{6C65DD7C-F77B-4541-B81C-20940DC92D4F}" name="Payment" dataDxfId="0"/>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3347A-9E26-4E6C-A322-E35257BC2B6E}">
  <dimension ref="A3:J17"/>
  <sheetViews>
    <sheetView topLeftCell="I17" zoomScale="85" zoomScaleNormal="85" workbookViewId="0">
      <selection activeCell="J20" sqref="J20"/>
    </sheetView>
  </sheetViews>
  <sheetFormatPr defaultRowHeight="15" x14ac:dyDescent="0.25"/>
  <cols>
    <col min="1" max="1" width="13.42578125" bestFit="1" customWidth="1"/>
    <col min="2" max="2" width="13.140625" bestFit="1" customWidth="1"/>
    <col min="3" max="3" width="22.5703125" bestFit="1" customWidth="1"/>
    <col min="4" max="4" width="13.140625" bestFit="1" customWidth="1"/>
    <col min="6" max="6" width="16.5703125" bestFit="1" customWidth="1"/>
    <col min="7" max="7" width="13.140625" bestFit="1" customWidth="1"/>
    <col min="9" max="9" width="14.42578125" bestFit="1" customWidth="1"/>
    <col min="10" max="11" width="12.7109375" bestFit="1" customWidth="1"/>
  </cols>
  <sheetData>
    <row r="3" spans="1:10" x14ac:dyDescent="0.25">
      <c r="A3" s="23" t="s">
        <v>311</v>
      </c>
      <c r="B3" t="s">
        <v>313</v>
      </c>
      <c r="I3" s="23" t="s">
        <v>311</v>
      </c>
      <c r="J3" t="s">
        <v>315</v>
      </c>
    </row>
    <row r="4" spans="1:10" x14ac:dyDescent="0.25">
      <c r="A4" s="24" t="s">
        <v>215</v>
      </c>
      <c r="B4" s="20">
        <v>66965</v>
      </c>
      <c r="I4" s="24" t="s">
        <v>227</v>
      </c>
      <c r="J4" s="25">
        <v>31910</v>
      </c>
    </row>
    <row r="5" spans="1:10" x14ac:dyDescent="0.25">
      <c r="A5" s="24" t="s">
        <v>214</v>
      </c>
      <c r="B5" s="20">
        <v>34298</v>
      </c>
      <c r="I5" s="24" t="s">
        <v>296</v>
      </c>
      <c r="J5" s="25">
        <v>7843</v>
      </c>
    </row>
    <row r="6" spans="1:10" x14ac:dyDescent="0.25">
      <c r="A6" s="24" t="s">
        <v>213</v>
      </c>
      <c r="B6" s="20">
        <v>40622</v>
      </c>
      <c r="I6" s="24" t="s">
        <v>229</v>
      </c>
      <c r="J6" s="25">
        <v>11891</v>
      </c>
    </row>
    <row r="7" spans="1:10" x14ac:dyDescent="0.25">
      <c r="A7" s="24" t="s">
        <v>212</v>
      </c>
      <c r="B7" s="20">
        <v>57768</v>
      </c>
      <c r="C7" s="23" t="s">
        <v>314</v>
      </c>
      <c r="D7" t="s">
        <v>313</v>
      </c>
      <c r="F7" s="23" t="s">
        <v>311</v>
      </c>
      <c r="G7" t="s">
        <v>313</v>
      </c>
      <c r="I7" s="24" t="s">
        <v>295</v>
      </c>
      <c r="J7" s="25">
        <v>5553</v>
      </c>
    </row>
    <row r="8" spans="1:10" x14ac:dyDescent="0.25">
      <c r="A8" s="24" t="s">
        <v>312</v>
      </c>
      <c r="B8" s="20">
        <v>199653</v>
      </c>
      <c r="C8" s="24" t="s">
        <v>227</v>
      </c>
      <c r="D8" s="20">
        <v>60773</v>
      </c>
      <c r="F8" s="24" t="s">
        <v>119</v>
      </c>
      <c r="G8" s="20">
        <v>6056</v>
      </c>
      <c r="I8" s="24" t="s">
        <v>228</v>
      </c>
      <c r="J8" s="25">
        <v>21217</v>
      </c>
    </row>
    <row r="9" spans="1:10" x14ac:dyDescent="0.25">
      <c r="C9" s="24" t="s">
        <v>296</v>
      </c>
      <c r="D9" s="20">
        <v>30339</v>
      </c>
      <c r="F9" s="24" t="s">
        <v>118</v>
      </c>
      <c r="G9" s="20">
        <v>36192</v>
      </c>
      <c r="I9" s="24" t="s">
        <v>299</v>
      </c>
      <c r="J9" s="25">
        <v>12365</v>
      </c>
    </row>
    <row r="10" spans="1:10" x14ac:dyDescent="0.25">
      <c r="C10" s="24" t="s">
        <v>229</v>
      </c>
      <c r="D10" s="20">
        <v>42384</v>
      </c>
      <c r="F10" s="24" t="s">
        <v>120</v>
      </c>
      <c r="G10" s="20">
        <v>42384</v>
      </c>
      <c r="I10" s="24" t="s">
        <v>231</v>
      </c>
      <c r="J10" s="25">
        <v>21444</v>
      </c>
    </row>
    <row r="11" spans="1:10" x14ac:dyDescent="0.25">
      <c r="C11" s="24" t="s">
        <v>295</v>
      </c>
      <c r="D11" s="20">
        <v>3959</v>
      </c>
      <c r="F11" s="24" t="s">
        <v>122</v>
      </c>
      <c r="G11" s="20">
        <v>14611</v>
      </c>
      <c r="I11" s="24" t="s">
        <v>280</v>
      </c>
      <c r="J11" s="25">
        <v>25619</v>
      </c>
    </row>
    <row r="12" spans="1:10" x14ac:dyDescent="0.25">
      <c r="C12" s="24" t="s">
        <v>228</v>
      </c>
      <c r="D12" s="20">
        <v>6056</v>
      </c>
      <c r="F12" s="24" t="s">
        <v>192</v>
      </c>
      <c r="G12" s="20">
        <v>3959</v>
      </c>
      <c r="I12" s="24" t="s">
        <v>312</v>
      </c>
      <c r="J12" s="25">
        <v>137842</v>
      </c>
    </row>
    <row r="13" spans="1:10" x14ac:dyDescent="0.25">
      <c r="C13" s="24" t="s">
        <v>299</v>
      </c>
      <c r="D13" s="20">
        <v>37101</v>
      </c>
      <c r="F13" s="24" t="s">
        <v>194</v>
      </c>
      <c r="G13" s="20">
        <v>30339</v>
      </c>
    </row>
    <row r="14" spans="1:10" x14ac:dyDescent="0.25">
      <c r="C14" s="24" t="s">
        <v>231</v>
      </c>
      <c r="D14" s="20">
        <v>14611</v>
      </c>
      <c r="F14" s="24" t="s">
        <v>199</v>
      </c>
      <c r="G14" s="20">
        <v>37101</v>
      </c>
    </row>
    <row r="15" spans="1:10" x14ac:dyDescent="0.25">
      <c r="C15" s="24" t="s">
        <v>280</v>
      </c>
      <c r="D15" s="20">
        <v>4430</v>
      </c>
      <c r="F15" s="24" t="s">
        <v>172</v>
      </c>
      <c r="G15" s="20">
        <v>4430</v>
      </c>
    </row>
    <row r="16" spans="1:10" x14ac:dyDescent="0.25">
      <c r="C16" s="24" t="s">
        <v>312</v>
      </c>
      <c r="D16" s="20">
        <v>199653</v>
      </c>
      <c r="F16" s="24" t="s">
        <v>210</v>
      </c>
      <c r="G16" s="20">
        <v>24581</v>
      </c>
    </row>
    <row r="17" spans="6:7" x14ac:dyDescent="0.25">
      <c r="F17" s="24" t="s">
        <v>312</v>
      </c>
      <c r="G17" s="20">
        <v>199653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2490-1B44-4409-A37E-3E7150FE42C7}">
  <dimension ref="A1"/>
  <sheetViews>
    <sheetView showGridLines="0" showRowColHeaders="0" tabSelected="1" zoomScale="78" zoomScaleNormal="78" workbookViewId="0">
      <selection activeCell="B51" sqref="B5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EABB7-27C5-4BA2-BBD6-F44A7D7121BC}">
  <dimension ref="A1:M102"/>
  <sheetViews>
    <sheetView zoomScale="95" workbookViewId="0">
      <selection activeCell="M6" sqref="M6"/>
    </sheetView>
  </sheetViews>
  <sheetFormatPr defaultRowHeight="15" x14ac:dyDescent="0.25"/>
  <cols>
    <col min="1" max="1" width="10.140625" customWidth="1"/>
    <col min="2" max="2" width="12.28515625" customWidth="1"/>
    <col min="3" max="3" width="19.85546875" customWidth="1"/>
    <col min="5" max="5" width="10.7109375" bestFit="1" customWidth="1"/>
    <col min="6" max="6" width="17.42578125" bestFit="1" customWidth="1"/>
    <col min="7" max="7" width="10.28515625" customWidth="1"/>
    <col min="8" max="8" width="12" bestFit="1" customWidth="1"/>
    <col min="9" max="9" width="10.7109375" customWidth="1"/>
    <col min="11" max="11" width="11.5703125" bestFit="1" customWidth="1"/>
    <col min="13" max="13" width="14.85546875" bestFit="1" customWidth="1"/>
  </cols>
  <sheetData>
    <row r="1" spans="1:13" ht="15.75" x14ac:dyDescent="0.25">
      <c r="A1" s="1" t="s">
        <v>11</v>
      </c>
      <c r="B1" s="1"/>
      <c r="C1" s="2"/>
      <c r="D1" s="1"/>
      <c r="E1" s="1"/>
      <c r="F1" s="1"/>
      <c r="G1" s="1"/>
      <c r="H1" s="1"/>
      <c r="I1" s="1"/>
      <c r="J1" s="1"/>
      <c r="K1" s="1"/>
    </row>
    <row r="2" spans="1:13" x14ac:dyDescent="0.25">
      <c r="A2" s="9" t="s">
        <v>10</v>
      </c>
      <c r="B2" s="10" t="s">
        <v>0</v>
      </c>
      <c r="C2" s="10" t="s">
        <v>1</v>
      </c>
      <c r="D2" s="10" t="s">
        <v>2</v>
      </c>
      <c r="E2" s="10" t="s">
        <v>3</v>
      </c>
      <c r="F2" s="10" t="s">
        <v>4</v>
      </c>
      <c r="G2" s="10" t="s">
        <v>5</v>
      </c>
      <c r="H2" s="10" t="s">
        <v>6</v>
      </c>
      <c r="I2" s="10" t="s">
        <v>7</v>
      </c>
      <c r="J2" s="10" t="s">
        <v>8</v>
      </c>
      <c r="K2" s="11" t="s">
        <v>9</v>
      </c>
      <c r="M2" s="21" t="s">
        <v>310</v>
      </c>
    </row>
    <row r="3" spans="1:13" x14ac:dyDescent="0.25">
      <c r="A3" s="12" t="s">
        <v>12</v>
      </c>
      <c r="B3" s="13">
        <v>46072</v>
      </c>
      <c r="C3" s="3" t="s">
        <v>112</v>
      </c>
      <c r="D3" s="14" t="s">
        <v>215</v>
      </c>
      <c r="E3" s="14" t="s">
        <v>219</v>
      </c>
      <c r="F3" s="14" t="s">
        <v>221</v>
      </c>
      <c r="G3" s="14">
        <v>6</v>
      </c>
      <c r="H3" s="4">
        <v>10468</v>
      </c>
      <c r="I3" s="5">
        <v>0.16</v>
      </c>
      <c r="J3" s="14">
        <v>19595</v>
      </c>
      <c r="K3" s="15" t="s">
        <v>309</v>
      </c>
      <c r="M3" s="22">
        <f>SUM(Table1[Sales])</f>
        <v>2573740</v>
      </c>
    </row>
    <row r="4" spans="1:13" x14ac:dyDescent="0.25">
      <c r="A4" s="12" t="s">
        <v>13</v>
      </c>
      <c r="B4" s="13">
        <v>45107</v>
      </c>
      <c r="C4" s="3" t="s">
        <v>113</v>
      </c>
      <c r="D4" s="14" t="s">
        <v>212</v>
      </c>
      <c r="E4" s="14" t="s">
        <v>218</v>
      </c>
      <c r="F4" s="14" t="s">
        <v>222</v>
      </c>
      <c r="G4" s="14">
        <v>1</v>
      </c>
      <c r="H4" s="4">
        <v>500</v>
      </c>
      <c r="I4" s="5">
        <v>0.21</v>
      </c>
      <c r="J4" s="14">
        <v>16462</v>
      </c>
      <c r="K4" s="15" t="s">
        <v>305</v>
      </c>
    </row>
    <row r="5" spans="1:13" x14ac:dyDescent="0.25">
      <c r="A5" s="12" t="s">
        <v>14</v>
      </c>
      <c r="B5" s="13">
        <v>45975</v>
      </c>
      <c r="C5" s="3" t="s">
        <v>114</v>
      </c>
      <c r="D5" s="14" t="s">
        <v>212</v>
      </c>
      <c r="E5" s="14" t="s">
        <v>218</v>
      </c>
      <c r="F5" s="14" t="s">
        <v>223</v>
      </c>
      <c r="G5" s="14">
        <v>8</v>
      </c>
      <c r="H5" s="4">
        <v>5000</v>
      </c>
      <c r="I5" s="5">
        <v>0.25</v>
      </c>
      <c r="J5" s="14">
        <v>26558</v>
      </c>
      <c r="K5" s="15" t="s">
        <v>309</v>
      </c>
    </row>
    <row r="6" spans="1:13" x14ac:dyDescent="0.25">
      <c r="A6" s="12" t="s">
        <v>15</v>
      </c>
      <c r="B6" s="13">
        <v>45030</v>
      </c>
      <c r="C6" s="3" t="s">
        <v>115</v>
      </c>
      <c r="D6" s="14" t="s">
        <v>213</v>
      </c>
      <c r="E6" s="14" t="s">
        <v>216</v>
      </c>
      <c r="F6" s="14" t="s">
        <v>224</v>
      </c>
      <c r="G6" s="14">
        <v>4</v>
      </c>
      <c r="H6" s="4">
        <v>31002</v>
      </c>
      <c r="I6" s="5">
        <v>0.2</v>
      </c>
      <c r="J6" s="14">
        <v>8401</v>
      </c>
      <c r="K6" s="15" t="s">
        <v>309</v>
      </c>
      <c r="M6" t="s">
        <v>316</v>
      </c>
    </row>
    <row r="7" spans="1:13" x14ac:dyDescent="0.25">
      <c r="A7" s="12" t="s">
        <v>16</v>
      </c>
      <c r="B7" s="13">
        <v>45519</v>
      </c>
      <c r="C7" s="3" t="s">
        <v>116</v>
      </c>
      <c r="D7" s="14" t="s">
        <v>214</v>
      </c>
      <c r="E7" s="14" t="s">
        <v>216</v>
      </c>
      <c r="F7" s="14" t="s">
        <v>225</v>
      </c>
      <c r="G7" s="14">
        <v>8</v>
      </c>
      <c r="H7" s="4">
        <v>12469</v>
      </c>
      <c r="I7" s="5">
        <v>0.15</v>
      </c>
      <c r="J7" s="14">
        <v>28043</v>
      </c>
      <c r="K7" s="15" t="s">
        <v>307</v>
      </c>
      <c r="M7">
        <f>SUM(Table1[Profit])</f>
        <v>1581083</v>
      </c>
    </row>
    <row r="8" spans="1:13" x14ac:dyDescent="0.25">
      <c r="A8" s="12" t="s">
        <v>17</v>
      </c>
      <c r="B8" s="13">
        <v>45974</v>
      </c>
      <c r="C8" s="3" t="s">
        <v>117</v>
      </c>
      <c r="D8" s="14" t="s">
        <v>214</v>
      </c>
      <c r="E8" s="14" t="s">
        <v>219</v>
      </c>
      <c r="F8" s="14" t="s">
        <v>226</v>
      </c>
      <c r="G8" s="14">
        <v>9</v>
      </c>
      <c r="H8" s="4">
        <v>18125</v>
      </c>
      <c r="I8" s="5">
        <v>0.15</v>
      </c>
      <c r="J8" s="14">
        <v>1875</v>
      </c>
      <c r="K8" s="15" t="s">
        <v>309</v>
      </c>
    </row>
    <row r="9" spans="1:13" x14ac:dyDescent="0.25">
      <c r="A9" s="12" t="s">
        <v>18</v>
      </c>
      <c r="B9" s="13">
        <v>45338</v>
      </c>
      <c r="C9" s="3" t="s">
        <v>118</v>
      </c>
      <c r="D9" s="14" t="s">
        <v>213</v>
      </c>
      <c r="E9" s="14" t="s">
        <v>220</v>
      </c>
      <c r="F9" s="14" t="s">
        <v>227</v>
      </c>
      <c r="G9" s="14">
        <v>1</v>
      </c>
      <c r="H9" s="4">
        <v>36192</v>
      </c>
      <c r="I9" s="5">
        <v>0.11</v>
      </c>
      <c r="J9" s="14">
        <v>14913</v>
      </c>
      <c r="K9" s="15" t="s">
        <v>307</v>
      </c>
    </row>
    <row r="10" spans="1:13" x14ac:dyDescent="0.25">
      <c r="A10" s="12" t="s">
        <v>19</v>
      </c>
      <c r="B10" s="13">
        <v>45549</v>
      </c>
      <c r="C10" s="3" t="s">
        <v>119</v>
      </c>
      <c r="D10" s="14" t="s">
        <v>212</v>
      </c>
      <c r="E10" s="14" t="s">
        <v>220</v>
      </c>
      <c r="F10" s="14" t="s">
        <v>228</v>
      </c>
      <c r="G10" s="14">
        <v>4</v>
      </c>
      <c r="H10" s="4">
        <v>6056</v>
      </c>
      <c r="I10" s="5">
        <v>0.1</v>
      </c>
      <c r="J10" s="14">
        <v>21217</v>
      </c>
      <c r="K10" s="15" t="s">
        <v>306</v>
      </c>
    </row>
    <row r="11" spans="1:13" x14ac:dyDescent="0.25">
      <c r="A11" s="12" t="s">
        <v>20</v>
      </c>
      <c r="B11" s="13">
        <v>45114</v>
      </c>
      <c r="C11" s="3" t="s">
        <v>120</v>
      </c>
      <c r="D11" s="14" t="s">
        <v>215</v>
      </c>
      <c r="E11" s="14" t="s">
        <v>220</v>
      </c>
      <c r="F11" s="14" t="s">
        <v>229</v>
      </c>
      <c r="G11" s="14">
        <v>2</v>
      </c>
      <c r="H11" s="4">
        <v>42384</v>
      </c>
      <c r="I11" s="5">
        <v>0.18</v>
      </c>
      <c r="J11" s="14">
        <v>11891</v>
      </c>
      <c r="K11" s="15" t="s">
        <v>306</v>
      </c>
    </row>
    <row r="12" spans="1:13" x14ac:dyDescent="0.25">
      <c r="A12" s="12" t="s">
        <v>21</v>
      </c>
      <c r="B12" s="13">
        <v>45520</v>
      </c>
      <c r="C12" s="3" t="s">
        <v>121</v>
      </c>
      <c r="D12" s="14" t="s">
        <v>215</v>
      </c>
      <c r="E12" s="14" t="s">
        <v>220</v>
      </c>
      <c r="F12" s="14" t="s">
        <v>230</v>
      </c>
      <c r="G12" s="14">
        <v>3</v>
      </c>
      <c r="H12" s="4">
        <v>8040</v>
      </c>
      <c r="I12" s="5">
        <v>0.16</v>
      </c>
      <c r="J12" s="14">
        <v>7079</v>
      </c>
      <c r="K12" s="15" t="s">
        <v>306</v>
      </c>
    </row>
    <row r="13" spans="1:13" x14ac:dyDescent="0.25">
      <c r="A13" s="12" t="s">
        <v>22</v>
      </c>
      <c r="B13" s="13">
        <v>45039</v>
      </c>
      <c r="C13" s="3" t="s">
        <v>122</v>
      </c>
      <c r="D13" s="14" t="s">
        <v>212</v>
      </c>
      <c r="E13" s="14" t="s">
        <v>216</v>
      </c>
      <c r="F13" s="14" t="s">
        <v>231</v>
      </c>
      <c r="G13" s="14">
        <v>7</v>
      </c>
      <c r="H13" s="4">
        <v>14611</v>
      </c>
      <c r="I13" s="5">
        <v>0.13</v>
      </c>
      <c r="J13" s="14">
        <v>21444</v>
      </c>
      <c r="K13" s="15" t="s">
        <v>305</v>
      </c>
    </row>
    <row r="14" spans="1:13" x14ac:dyDescent="0.25">
      <c r="A14" s="12" t="s">
        <v>23</v>
      </c>
      <c r="B14" s="13">
        <v>45158</v>
      </c>
      <c r="C14" s="3" t="s">
        <v>123</v>
      </c>
      <c r="D14" s="14" t="s">
        <v>214</v>
      </c>
      <c r="E14" s="14" t="s">
        <v>218</v>
      </c>
      <c r="F14" s="14" t="s">
        <v>232</v>
      </c>
      <c r="G14" s="14">
        <v>7</v>
      </c>
      <c r="H14" s="4">
        <v>37575</v>
      </c>
      <c r="I14" s="5">
        <v>0.17</v>
      </c>
      <c r="J14" s="14">
        <v>24466</v>
      </c>
      <c r="K14" s="15" t="s">
        <v>307</v>
      </c>
    </row>
    <row r="15" spans="1:13" x14ac:dyDescent="0.25">
      <c r="A15" s="12" t="s">
        <v>24</v>
      </c>
      <c r="B15" s="13">
        <v>45415</v>
      </c>
      <c r="C15" s="3" t="s">
        <v>124</v>
      </c>
      <c r="D15" s="14" t="s">
        <v>215</v>
      </c>
      <c r="E15" s="14" t="s">
        <v>217</v>
      </c>
      <c r="F15" s="14" t="s">
        <v>233</v>
      </c>
      <c r="G15" s="14">
        <v>4</v>
      </c>
      <c r="H15" s="4">
        <v>31714</v>
      </c>
      <c r="I15" s="5">
        <v>0.09</v>
      </c>
      <c r="J15" s="14">
        <v>23968</v>
      </c>
      <c r="K15" s="15" t="s">
        <v>305</v>
      </c>
    </row>
    <row r="16" spans="1:13" x14ac:dyDescent="0.25">
      <c r="A16" s="12" t="s">
        <v>25</v>
      </c>
      <c r="B16" s="13">
        <v>45141</v>
      </c>
      <c r="C16" s="3" t="s">
        <v>125</v>
      </c>
      <c r="D16" s="14" t="s">
        <v>213</v>
      </c>
      <c r="E16" s="14" t="s">
        <v>217</v>
      </c>
      <c r="F16" s="14" t="s">
        <v>234</v>
      </c>
      <c r="G16" s="14">
        <v>9</v>
      </c>
      <c r="H16" s="4">
        <v>49909</v>
      </c>
      <c r="I16" s="5">
        <v>0.05</v>
      </c>
      <c r="J16" s="14">
        <v>17146</v>
      </c>
      <c r="K16" s="15" t="s">
        <v>306</v>
      </c>
    </row>
    <row r="17" spans="1:11" x14ac:dyDescent="0.25">
      <c r="A17" s="12" t="s">
        <v>26</v>
      </c>
      <c r="B17" s="13">
        <v>45687</v>
      </c>
      <c r="C17" s="3" t="s">
        <v>126</v>
      </c>
      <c r="D17" s="14" t="s">
        <v>215</v>
      </c>
      <c r="E17" s="14" t="s">
        <v>219</v>
      </c>
      <c r="F17" s="14" t="s">
        <v>235</v>
      </c>
      <c r="G17" s="14">
        <v>8</v>
      </c>
      <c r="H17" s="4">
        <v>19527</v>
      </c>
      <c r="I17" s="5">
        <v>0.11</v>
      </c>
      <c r="J17" s="14">
        <v>20231</v>
      </c>
      <c r="K17" s="15" t="s">
        <v>305</v>
      </c>
    </row>
    <row r="18" spans="1:11" x14ac:dyDescent="0.25">
      <c r="A18" s="12" t="s">
        <v>27</v>
      </c>
      <c r="B18" s="13">
        <v>45090</v>
      </c>
      <c r="C18" s="3" t="s">
        <v>127</v>
      </c>
      <c r="D18" s="14" t="s">
        <v>214</v>
      </c>
      <c r="E18" s="14" t="s">
        <v>217</v>
      </c>
      <c r="F18" s="14" t="s">
        <v>236</v>
      </c>
      <c r="G18" s="14">
        <v>9</v>
      </c>
      <c r="H18" s="4">
        <v>44418</v>
      </c>
      <c r="I18" s="5">
        <v>0.14000000000000001</v>
      </c>
      <c r="J18" s="14">
        <v>26484</v>
      </c>
      <c r="K18" s="15" t="s">
        <v>308</v>
      </c>
    </row>
    <row r="19" spans="1:11" x14ac:dyDescent="0.25">
      <c r="A19" s="12" t="s">
        <v>28</v>
      </c>
      <c r="B19" s="13">
        <v>45733</v>
      </c>
      <c r="C19" s="3" t="s">
        <v>128</v>
      </c>
      <c r="D19" s="14" t="s">
        <v>214</v>
      </c>
      <c r="E19" s="14" t="s">
        <v>216</v>
      </c>
      <c r="F19" s="14" t="s">
        <v>237</v>
      </c>
      <c r="G19" s="14">
        <v>2</v>
      </c>
      <c r="H19" s="4">
        <v>10375</v>
      </c>
      <c r="I19" s="5">
        <v>0.26</v>
      </c>
      <c r="J19" s="14">
        <v>3157</v>
      </c>
      <c r="K19" s="15" t="s">
        <v>308</v>
      </c>
    </row>
    <row r="20" spans="1:11" x14ac:dyDescent="0.25">
      <c r="A20" s="12" t="s">
        <v>29</v>
      </c>
      <c r="B20" s="13">
        <v>45307</v>
      </c>
      <c r="C20" s="3" t="s">
        <v>129</v>
      </c>
      <c r="D20" s="14" t="s">
        <v>214</v>
      </c>
      <c r="E20" s="14" t="s">
        <v>219</v>
      </c>
      <c r="F20" s="14" t="s">
        <v>238</v>
      </c>
      <c r="G20" s="14">
        <v>6</v>
      </c>
      <c r="H20" s="4">
        <v>18795</v>
      </c>
      <c r="I20" s="5">
        <v>0.14000000000000001</v>
      </c>
      <c r="J20" s="14">
        <v>1922</v>
      </c>
      <c r="K20" s="15" t="s">
        <v>309</v>
      </c>
    </row>
    <row r="21" spans="1:11" x14ac:dyDescent="0.25">
      <c r="A21" s="12" t="s">
        <v>30</v>
      </c>
      <c r="B21" s="13">
        <v>45386</v>
      </c>
      <c r="C21" s="3" t="s">
        <v>130</v>
      </c>
      <c r="D21" s="14" t="s">
        <v>214</v>
      </c>
      <c r="E21" s="14" t="s">
        <v>219</v>
      </c>
      <c r="F21" s="14" t="s">
        <v>239</v>
      </c>
      <c r="G21" s="14">
        <v>5</v>
      </c>
      <c r="H21" s="4">
        <v>16626</v>
      </c>
      <c r="I21" s="5">
        <v>0.13</v>
      </c>
      <c r="J21" s="14">
        <v>5003</v>
      </c>
      <c r="K21" s="15" t="s">
        <v>308</v>
      </c>
    </row>
    <row r="22" spans="1:11" x14ac:dyDescent="0.25">
      <c r="A22" s="12" t="s">
        <v>31</v>
      </c>
      <c r="B22" s="13">
        <v>46003</v>
      </c>
      <c r="C22" s="3" t="s">
        <v>131</v>
      </c>
      <c r="D22" s="14" t="s">
        <v>213</v>
      </c>
      <c r="E22" s="14" t="s">
        <v>219</v>
      </c>
      <c r="F22" s="14" t="s">
        <v>240</v>
      </c>
      <c r="G22" s="14">
        <v>7</v>
      </c>
      <c r="H22" s="4">
        <v>47685</v>
      </c>
      <c r="I22" s="5">
        <v>0.28000000000000003</v>
      </c>
      <c r="J22" s="14">
        <v>28291</v>
      </c>
      <c r="K22" s="15" t="s">
        <v>308</v>
      </c>
    </row>
    <row r="23" spans="1:11" x14ac:dyDescent="0.25">
      <c r="A23" s="12" t="s">
        <v>32</v>
      </c>
      <c r="B23" s="13">
        <v>45049</v>
      </c>
      <c r="C23" s="3" t="s">
        <v>132</v>
      </c>
      <c r="D23" s="14" t="s">
        <v>213</v>
      </c>
      <c r="E23" s="14" t="s">
        <v>219</v>
      </c>
      <c r="F23" s="14" t="s">
        <v>241</v>
      </c>
      <c r="G23" s="14">
        <v>8</v>
      </c>
      <c r="H23" s="4">
        <v>16086</v>
      </c>
      <c r="I23" s="5">
        <v>0.2</v>
      </c>
      <c r="J23" s="14">
        <v>20832</v>
      </c>
      <c r="K23" s="15" t="s">
        <v>308</v>
      </c>
    </row>
    <row r="24" spans="1:11" x14ac:dyDescent="0.25">
      <c r="A24" s="12" t="s">
        <v>33</v>
      </c>
      <c r="B24" s="13">
        <v>45449</v>
      </c>
      <c r="C24" s="3" t="s">
        <v>133</v>
      </c>
      <c r="D24" s="14" t="s">
        <v>213</v>
      </c>
      <c r="E24" s="14" t="s">
        <v>216</v>
      </c>
      <c r="F24" s="14" t="s">
        <v>242</v>
      </c>
      <c r="G24" s="14">
        <v>6</v>
      </c>
      <c r="H24" s="4">
        <v>19618</v>
      </c>
      <c r="I24" s="5">
        <v>0.28999999999999998</v>
      </c>
      <c r="J24" s="14">
        <v>18859</v>
      </c>
      <c r="K24" s="15" t="s">
        <v>307</v>
      </c>
    </row>
    <row r="25" spans="1:11" x14ac:dyDescent="0.25">
      <c r="A25" s="12" t="s">
        <v>34</v>
      </c>
      <c r="B25" s="13">
        <v>45771</v>
      </c>
      <c r="C25" s="3" t="s">
        <v>134</v>
      </c>
      <c r="D25" s="14" t="s">
        <v>213</v>
      </c>
      <c r="E25" s="14" t="s">
        <v>220</v>
      </c>
      <c r="F25" s="14" t="s">
        <v>243</v>
      </c>
      <c r="G25" s="14">
        <v>10</v>
      </c>
      <c r="H25" s="4">
        <v>48083</v>
      </c>
      <c r="I25" s="5">
        <v>0.15</v>
      </c>
      <c r="J25" s="14">
        <v>11884</v>
      </c>
      <c r="K25" s="15" t="s">
        <v>309</v>
      </c>
    </row>
    <row r="26" spans="1:11" x14ac:dyDescent="0.25">
      <c r="A26" s="12" t="s">
        <v>35</v>
      </c>
      <c r="B26" s="13">
        <v>45353</v>
      </c>
      <c r="C26" s="3" t="s">
        <v>135</v>
      </c>
      <c r="D26" s="14" t="s">
        <v>213</v>
      </c>
      <c r="E26" s="14" t="s">
        <v>217</v>
      </c>
      <c r="F26" s="14" t="s">
        <v>244</v>
      </c>
      <c r="G26" s="14">
        <v>8</v>
      </c>
      <c r="H26" s="4">
        <v>33570</v>
      </c>
      <c r="I26" s="5">
        <v>0.19</v>
      </c>
      <c r="J26" s="14">
        <v>2648</v>
      </c>
      <c r="K26" s="15" t="s">
        <v>308</v>
      </c>
    </row>
    <row r="27" spans="1:11" x14ac:dyDescent="0.25">
      <c r="A27" s="12" t="s">
        <v>36</v>
      </c>
      <c r="B27" s="13">
        <v>45307</v>
      </c>
      <c r="C27" s="3" t="s">
        <v>136</v>
      </c>
      <c r="D27" s="14" t="s">
        <v>214</v>
      </c>
      <c r="E27" s="14" t="s">
        <v>219</v>
      </c>
      <c r="F27" s="14" t="s">
        <v>245</v>
      </c>
      <c r="G27" s="14">
        <v>1</v>
      </c>
      <c r="H27" s="4">
        <v>35239</v>
      </c>
      <c r="I27" s="5">
        <v>0.15</v>
      </c>
      <c r="J27" s="14">
        <v>26076</v>
      </c>
      <c r="K27" s="15" t="s">
        <v>307</v>
      </c>
    </row>
    <row r="28" spans="1:11" x14ac:dyDescent="0.25">
      <c r="A28" s="12" t="s">
        <v>37</v>
      </c>
      <c r="B28" s="13">
        <v>45855</v>
      </c>
      <c r="C28" s="3" t="s">
        <v>137</v>
      </c>
      <c r="D28" s="14" t="s">
        <v>213</v>
      </c>
      <c r="E28" s="14" t="s">
        <v>218</v>
      </c>
      <c r="F28" s="14" t="s">
        <v>246</v>
      </c>
      <c r="G28" s="14">
        <v>4</v>
      </c>
      <c r="H28" s="4">
        <v>38069</v>
      </c>
      <c r="I28" s="5">
        <v>7.0000000000000007E-2</v>
      </c>
      <c r="J28" s="14">
        <v>15190</v>
      </c>
      <c r="K28" s="15" t="s">
        <v>307</v>
      </c>
    </row>
    <row r="29" spans="1:11" x14ac:dyDescent="0.25">
      <c r="A29" s="12" t="s">
        <v>38</v>
      </c>
      <c r="B29" s="13">
        <v>45591</v>
      </c>
      <c r="C29" s="3" t="s">
        <v>138</v>
      </c>
      <c r="D29" s="14" t="s">
        <v>214</v>
      </c>
      <c r="E29" s="14" t="s">
        <v>216</v>
      </c>
      <c r="F29" s="14" t="s">
        <v>247</v>
      </c>
      <c r="G29" s="14">
        <v>8</v>
      </c>
      <c r="H29" s="4">
        <v>22159</v>
      </c>
      <c r="I29" s="5">
        <v>0.3</v>
      </c>
      <c r="J29" s="14">
        <v>13464</v>
      </c>
      <c r="K29" s="15" t="s">
        <v>306</v>
      </c>
    </row>
    <row r="30" spans="1:11" x14ac:dyDescent="0.25">
      <c r="A30" s="12" t="s">
        <v>39</v>
      </c>
      <c r="B30" s="13">
        <v>45669</v>
      </c>
      <c r="C30" s="3" t="s">
        <v>139</v>
      </c>
      <c r="D30" s="14" t="s">
        <v>215</v>
      </c>
      <c r="E30" s="14" t="s">
        <v>218</v>
      </c>
      <c r="F30" s="14" t="s">
        <v>248</v>
      </c>
      <c r="G30" s="14">
        <v>6</v>
      </c>
      <c r="H30" s="4">
        <v>23646</v>
      </c>
      <c r="I30" s="5">
        <v>0.13</v>
      </c>
      <c r="J30" s="14">
        <v>4848</v>
      </c>
      <c r="K30" s="15" t="s">
        <v>307</v>
      </c>
    </row>
    <row r="31" spans="1:11" x14ac:dyDescent="0.25">
      <c r="A31" s="12" t="s">
        <v>40</v>
      </c>
      <c r="B31" s="13">
        <v>46066</v>
      </c>
      <c r="C31" s="3" t="s">
        <v>140</v>
      </c>
      <c r="D31" s="14" t="s">
        <v>214</v>
      </c>
      <c r="E31" s="14" t="s">
        <v>219</v>
      </c>
      <c r="F31" s="14" t="s">
        <v>249</v>
      </c>
      <c r="G31" s="14">
        <v>9</v>
      </c>
      <c r="H31" s="4">
        <v>9779</v>
      </c>
      <c r="I31" s="5">
        <v>0.15</v>
      </c>
      <c r="J31" s="14">
        <v>4432</v>
      </c>
      <c r="K31" s="15" t="s">
        <v>308</v>
      </c>
    </row>
    <row r="32" spans="1:11" x14ac:dyDescent="0.25">
      <c r="A32" s="12" t="s">
        <v>41</v>
      </c>
      <c r="B32" s="13">
        <v>45529</v>
      </c>
      <c r="C32" s="3" t="s">
        <v>141</v>
      </c>
      <c r="D32" s="14" t="s">
        <v>214</v>
      </c>
      <c r="E32" s="14" t="s">
        <v>216</v>
      </c>
      <c r="F32" s="14" t="s">
        <v>250</v>
      </c>
      <c r="G32" s="14">
        <v>7</v>
      </c>
      <c r="H32" s="4">
        <v>19520</v>
      </c>
      <c r="I32" s="5">
        <v>0.26</v>
      </c>
      <c r="J32" s="14">
        <v>15072</v>
      </c>
      <c r="K32" s="15" t="s">
        <v>309</v>
      </c>
    </row>
    <row r="33" spans="1:11" x14ac:dyDescent="0.25">
      <c r="A33" s="12" t="s">
        <v>42</v>
      </c>
      <c r="B33" s="13">
        <v>45278</v>
      </c>
      <c r="C33" s="3" t="s">
        <v>142</v>
      </c>
      <c r="D33" s="14" t="s">
        <v>212</v>
      </c>
      <c r="E33" s="14" t="s">
        <v>216</v>
      </c>
      <c r="F33" s="14" t="s">
        <v>251</v>
      </c>
      <c r="G33" s="14">
        <v>6</v>
      </c>
      <c r="H33" s="4">
        <v>33783</v>
      </c>
      <c r="I33" s="5">
        <v>0.24</v>
      </c>
      <c r="J33" s="14">
        <v>16139</v>
      </c>
      <c r="K33" s="15" t="s">
        <v>306</v>
      </c>
    </row>
    <row r="34" spans="1:11" x14ac:dyDescent="0.25">
      <c r="A34" s="12" t="s">
        <v>43</v>
      </c>
      <c r="B34" s="13">
        <v>45961</v>
      </c>
      <c r="C34" s="3" t="s">
        <v>143</v>
      </c>
      <c r="D34" s="14" t="s">
        <v>215</v>
      </c>
      <c r="E34" s="14" t="s">
        <v>219</v>
      </c>
      <c r="F34" s="14" t="s">
        <v>252</v>
      </c>
      <c r="G34" s="14">
        <v>6</v>
      </c>
      <c r="H34" s="4">
        <v>20969</v>
      </c>
      <c r="I34" s="5">
        <v>0.11</v>
      </c>
      <c r="J34" s="14">
        <v>27753</v>
      </c>
      <c r="K34" s="15" t="s">
        <v>307</v>
      </c>
    </row>
    <row r="35" spans="1:11" x14ac:dyDescent="0.25">
      <c r="A35" s="12" t="s">
        <v>44</v>
      </c>
      <c r="B35" s="13">
        <v>45934</v>
      </c>
      <c r="C35" s="3" t="s">
        <v>144</v>
      </c>
      <c r="D35" s="14" t="s">
        <v>212</v>
      </c>
      <c r="E35" s="14" t="s">
        <v>218</v>
      </c>
      <c r="F35" s="14" t="s">
        <v>253</v>
      </c>
      <c r="G35" s="14">
        <v>3</v>
      </c>
      <c r="H35" s="4">
        <v>11445</v>
      </c>
      <c r="I35" s="5">
        <v>0.28999999999999998</v>
      </c>
      <c r="J35" s="14">
        <v>22926</v>
      </c>
      <c r="K35" s="15" t="s">
        <v>309</v>
      </c>
    </row>
    <row r="36" spans="1:11" x14ac:dyDescent="0.25">
      <c r="A36" s="12" t="s">
        <v>45</v>
      </c>
      <c r="B36" s="13">
        <v>45704</v>
      </c>
      <c r="C36" s="3" t="s">
        <v>145</v>
      </c>
      <c r="D36" s="14" t="s">
        <v>213</v>
      </c>
      <c r="E36" s="14" t="s">
        <v>219</v>
      </c>
      <c r="F36" s="14" t="s">
        <v>254</v>
      </c>
      <c r="G36" s="14">
        <v>7</v>
      </c>
      <c r="H36" s="4">
        <v>23461</v>
      </c>
      <c r="I36" s="5">
        <v>0.09</v>
      </c>
      <c r="J36" s="14">
        <v>7936</v>
      </c>
      <c r="K36" s="15" t="s">
        <v>306</v>
      </c>
    </row>
    <row r="37" spans="1:11" x14ac:dyDescent="0.25">
      <c r="A37" s="12" t="s">
        <v>46</v>
      </c>
      <c r="B37" s="13">
        <v>45775</v>
      </c>
      <c r="C37" s="3" t="s">
        <v>146</v>
      </c>
      <c r="D37" s="14" t="s">
        <v>212</v>
      </c>
      <c r="E37" s="14" t="s">
        <v>216</v>
      </c>
      <c r="F37" s="14" t="s">
        <v>255</v>
      </c>
      <c r="G37" s="14">
        <v>10</v>
      </c>
      <c r="H37" s="4">
        <v>45552</v>
      </c>
      <c r="I37" s="5">
        <v>0.17</v>
      </c>
      <c r="J37" s="14">
        <v>7980</v>
      </c>
      <c r="K37" s="15" t="s">
        <v>306</v>
      </c>
    </row>
    <row r="38" spans="1:11" x14ac:dyDescent="0.25">
      <c r="A38" s="12" t="s">
        <v>47</v>
      </c>
      <c r="B38" s="13">
        <v>45306</v>
      </c>
      <c r="C38" s="3" t="s">
        <v>147</v>
      </c>
      <c r="D38" s="14" t="s">
        <v>214</v>
      </c>
      <c r="E38" s="14" t="s">
        <v>218</v>
      </c>
      <c r="F38" s="14" t="s">
        <v>256</v>
      </c>
      <c r="G38" s="14">
        <v>8</v>
      </c>
      <c r="H38" s="4">
        <v>2575</v>
      </c>
      <c r="I38" s="5">
        <v>0.16</v>
      </c>
      <c r="J38" s="14">
        <v>26921</v>
      </c>
      <c r="K38" s="15" t="s">
        <v>308</v>
      </c>
    </row>
    <row r="39" spans="1:11" x14ac:dyDescent="0.25">
      <c r="A39" s="12" t="s">
        <v>48</v>
      </c>
      <c r="B39" s="13">
        <v>45726</v>
      </c>
      <c r="C39" s="3" t="s">
        <v>148</v>
      </c>
      <c r="D39" s="14" t="s">
        <v>213</v>
      </c>
      <c r="E39" s="14" t="s">
        <v>219</v>
      </c>
      <c r="F39" s="14" t="s">
        <v>257</v>
      </c>
      <c r="G39" s="14">
        <v>6</v>
      </c>
      <c r="H39" s="4">
        <v>1568</v>
      </c>
      <c r="I39" s="5">
        <v>0.08</v>
      </c>
      <c r="J39" s="14">
        <v>27982</v>
      </c>
      <c r="K39" s="15" t="s">
        <v>309</v>
      </c>
    </row>
    <row r="40" spans="1:11" x14ac:dyDescent="0.25">
      <c r="A40" s="12" t="s">
        <v>49</v>
      </c>
      <c r="B40" s="13">
        <v>46070</v>
      </c>
      <c r="C40" s="3" t="s">
        <v>149</v>
      </c>
      <c r="D40" s="14" t="s">
        <v>214</v>
      </c>
      <c r="E40" s="14" t="s">
        <v>217</v>
      </c>
      <c r="F40" s="14" t="s">
        <v>258</v>
      </c>
      <c r="G40" s="14">
        <v>5</v>
      </c>
      <c r="H40" s="4">
        <v>7910</v>
      </c>
      <c r="I40" s="5">
        <v>0.17</v>
      </c>
      <c r="J40" s="14">
        <v>12639</v>
      </c>
      <c r="K40" s="15" t="s">
        <v>307</v>
      </c>
    </row>
    <row r="41" spans="1:11" x14ac:dyDescent="0.25">
      <c r="A41" s="12" t="s">
        <v>50</v>
      </c>
      <c r="B41" s="13">
        <v>45485</v>
      </c>
      <c r="C41" s="3" t="s">
        <v>150</v>
      </c>
      <c r="D41" s="14" t="s">
        <v>212</v>
      </c>
      <c r="E41" s="14" t="s">
        <v>219</v>
      </c>
      <c r="F41" s="14" t="s">
        <v>259</v>
      </c>
      <c r="G41" s="14">
        <v>7</v>
      </c>
      <c r="H41" s="4">
        <v>25645</v>
      </c>
      <c r="I41" s="5">
        <v>0.22</v>
      </c>
      <c r="J41" s="14">
        <v>14254</v>
      </c>
      <c r="K41" s="15" t="s">
        <v>307</v>
      </c>
    </row>
    <row r="42" spans="1:11" x14ac:dyDescent="0.25">
      <c r="A42" s="12" t="s">
        <v>51</v>
      </c>
      <c r="B42" s="13">
        <v>45769</v>
      </c>
      <c r="C42" s="3" t="s">
        <v>151</v>
      </c>
      <c r="D42" s="14" t="s">
        <v>212</v>
      </c>
      <c r="E42" s="14" t="s">
        <v>216</v>
      </c>
      <c r="F42" s="14" t="s">
        <v>260</v>
      </c>
      <c r="G42" s="14">
        <v>2</v>
      </c>
      <c r="H42" s="4">
        <v>14217</v>
      </c>
      <c r="I42" s="5">
        <v>0.09</v>
      </c>
      <c r="J42" s="14">
        <v>17294</v>
      </c>
      <c r="K42" s="15" t="s">
        <v>305</v>
      </c>
    </row>
    <row r="43" spans="1:11" x14ac:dyDescent="0.25">
      <c r="A43" s="12" t="s">
        <v>52</v>
      </c>
      <c r="B43" s="13">
        <v>45504</v>
      </c>
      <c r="C43" s="3" t="s">
        <v>152</v>
      </c>
      <c r="D43" s="14" t="s">
        <v>213</v>
      </c>
      <c r="E43" s="14" t="s">
        <v>220</v>
      </c>
      <c r="F43" s="14" t="s">
        <v>261</v>
      </c>
      <c r="G43" s="14">
        <v>10</v>
      </c>
      <c r="H43" s="4">
        <v>10994</v>
      </c>
      <c r="I43" s="5">
        <v>0.28999999999999998</v>
      </c>
      <c r="J43" s="14">
        <v>14478</v>
      </c>
      <c r="K43" s="15" t="s">
        <v>307</v>
      </c>
    </row>
    <row r="44" spans="1:11" x14ac:dyDescent="0.25">
      <c r="A44" s="12" t="s">
        <v>53</v>
      </c>
      <c r="B44" s="13">
        <v>45517</v>
      </c>
      <c r="C44" s="3" t="s">
        <v>153</v>
      </c>
      <c r="D44" s="14" t="s">
        <v>215</v>
      </c>
      <c r="E44" s="14" t="s">
        <v>219</v>
      </c>
      <c r="F44" s="14" t="s">
        <v>262</v>
      </c>
      <c r="G44" s="14">
        <v>9</v>
      </c>
      <c r="H44" s="4">
        <v>21616</v>
      </c>
      <c r="I44" s="5">
        <v>7.0000000000000007E-2</v>
      </c>
      <c r="J44" s="14">
        <v>29705</v>
      </c>
      <c r="K44" s="15" t="s">
        <v>309</v>
      </c>
    </row>
    <row r="45" spans="1:11" x14ac:dyDescent="0.25">
      <c r="A45" s="12" t="s">
        <v>54</v>
      </c>
      <c r="B45" s="13">
        <v>45911</v>
      </c>
      <c r="C45" s="3" t="s">
        <v>154</v>
      </c>
      <c r="D45" s="14" t="s">
        <v>215</v>
      </c>
      <c r="E45" s="14" t="s">
        <v>220</v>
      </c>
      <c r="F45" s="14" t="s">
        <v>263</v>
      </c>
      <c r="G45" s="14">
        <v>6</v>
      </c>
      <c r="H45" s="4">
        <v>29268</v>
      </c>
      <c r="I45" s="5">
        <v>7.0000000000000007E-2</v>
      </c>
      <c r="J45" s="14">
        <v>10871</v>
      </c>
      <c r="K45" s="15" t="s">
        <v>307</v>
      </c>
    </row>
    <row r="46" spans="1:11" x14ac:dyDescent="0.25">
      <c r="A46" s="12" t="s">
        <v>55</v>
      </c>
      <c r="B46" s="13">
        <v>45399</v>
      </c>
      <c r="C46" s="3" t="s">
        <v>155</v>
      </c>
      <c r="D46" s="14" t="s">
        <v>214</v>
      </c>
      <c r="E46" s="14" t="s">
        <v>218</v>
      </c>
      <c r="F46" s="14" t="s">
        <v>264</v>
      </c>
      <c r="G46" s="14">
        <v>10</v>
      </c>
      <c r="H46" s="4">
        <v>15761</v>
      </c>
      <c r="I46" s="5">
        <v>0.25</v>
      </c>
      <c r="J46" s="14">
        <v>19054</v>
      </c>
      <c r="K46" s="15" t="s">
        <v>307</v>
      </c>
    </row>
    <row r="47" spans="1:11" x14ac:dyDescent="0.25">
      <c r="A47" s="12" t="s">
        <v>56</v>
      </c>
      <c r="B47" s="13">
        <v>45458</v>
      </c>
      <c r="C47" s="3" t="s">
        <v>156</v>
      </c>
      <c r="D47" s="14" t="s">
        <v>213</v>
      </c>
      <c r="E47" s="14" t="s">
        <v>218</v>
      </c>
      <c r="F47" s="14" t="s">
        <v>265</v>
      </c>
      <c r="G47" s="14">
        <v>6</v>
      </c>
      <c r="H47" s="4">
        <v>11553</v>
      </c>
      <c r="I47" s="5">
        <v>0.3</v>
      </c>
      <c r="J47" s="14">
        <v>14071</v>
      </c>
      <c r="K47" s="15" t="s">
        <v>308</v>
      </c>
    </row>
    <row r="48" spans="1:11" x14ac:dyDescent="0.25">
      <c r="A48" s="12" t="s">
        <v>57</v>
      </c>
      <c r="B48" s="13">
        <v>45581</v>
      </c>
      <c r="C48" s="3" t="s">
        <v>157</v>
      </c>
      <c r="D48" s="14" t="s">
        <v>215</v>
      </c>
      <c r="E48" s="14" t="s">
        <v>218</v>
      </c>
      <c r="F48" s="14" t="s">
        <v>266</v>
      </c>
      <c r="G48" s="14">
        <v>1</v>
      </c>
      <c r="H48" s="4">
        <v>39559</v>
      </c>
      <c r="I48" s="5">
        <v>0.14000000000000001</v>
      </c>
      <c r="J48" s="14">
        <v>25383</v>
      </c>
      <c r="K48" s="15" t="s">
        <v>305</v>
      </c>
    </row>
    <row r="49" spans="1:11" x14ac:dyDescent="0.25">
      <c r="A49" s="12" t="s">
        <v>58</v>
      </c>
      <c r="B49" s="13">
        <v>45918</v>
      </c>
      <c r="C49" s="3" t="s">
        <v>158</v>
      </c>
      <c r="D49" s="14" t="s">
        <v>213</v>
      </c>
      <c r="E49" s="14" t="s">
        <v>217</v>
      </c>
      <c r="F49" s="14" t="s">
        <v>267</v>
      </c>
      <c r="G49" s="14">
        <v>1</v>
      </c>
      <c r="H49" s="4">
        <v>45112</v>
      </c>
      <c r="I49" s="5">
        <v>0.18</v>
      </c>
      <c r="J49" s="14">
        <v>24555</v>
      </c>
      <c r="K49" s="15" t="s">
        <v>309</v>
      </c>
    </row>
    <row r="50" spans="1:11" x14ac:dyDescent="0.25">
      <c r="A50" s="12" t="s">
        <v>59</v>
      </c>
      <c r="B50" s="13">
        <v>45750</v>
      </c>
      <c r="C50" s="3" t="s">
        <v>159</v>
      </c>
      <c r="D50" s="14" t="s">
        <v>212</v>
      </c>
      <c r="E50" s="14" t="s">
        <v>219</v>
      </c>
      <c r="F50" s="14" t="s">
        <v>268</v>
      </c>
      <c r="G50" s="14">
        <v>2</v>
      </c>
      <c r="H50" s="4">
        <v>48646</v>
      </c>
      <c r="I50" s="5">
        <v>0.27</v>
      </c>
      <c r="J50" s="14">
        <v>20287</v>
      </c>
      <c r="K50" s="15" t="s">
        <v>305</v>
      </c>
    </row>
    <row r="51" spans="1:11" x14ac:dyDescent="0.25">
      <c r="A51" s="12" t="s">
        <v>60</v>
      </c>
      <c r="B51" s="13">
        <v>45016</v>
      </c>
      <c r="C51" s="3" t="s">
        <v>160</v>
      </c>
      <c r="D51" s="14" t="s">
        <v>214</v>
      </c>
      <c r="E51" s="14" t="s">
        <v>219</v>
      </c>
      <c r="F51" s="14" t="s">
        <v>269</v>
      </c>
      <c r="G51" s="14">
        <v>5</v>
      </c>
      <c r="H51" s="4">
        <v>11933</v>
      </c>
      <c r="I51" s="5">
        <v>0.13</v>
      </c>
      <c r="J51" s="14">
        <v>12847</v>
      </c>
      <c r="K51" s="15" t="s">
        <v>308</v>
      </c>
    </row>
    <row r="52" spans="1:11" x14ac:dyDescent="0.25">
      <c r="A52" s="12" t="s">
        <v>61</v>
      </c>
      <c r="B52" s="13">
        <v>45288</v>
      </c>
      <c r="C52" s="3" t="s">
        <v>161</v>
      </c>
      <c r="D52" s="14" t="s">
        <v>214</v>
      </c>
      <c r="E52" s="14" t="s">
        <v>218</v>
      </c>
      <c r="F52" s="14" t="s">
        <v>270</v>
      </c>
      <c r="G52" s="14">
        <v>2</v>
      </c>
      <c r="H52" s="4">
        <v>35713</v>
      </c>
      <c r="I52" s="5">
        <v>0.22</v>
      </c>
      <c r="J52" s="14">
        <v>16715</v>
      </c>
      <c r="K52" s="15" t="s">
        <v>309</v>
      </c>
    </row>
    <row r="53" spans="1:11" x14ac:dyDescent="0.25">
      <c r="A53" s="12" t="s">
        <v>62</v>
      </c>
      <c r="B53" s="13">
        <v>45435</v>
      </c>
      <c r="C53" s="3" t="s">
        <v>162</v>
      </c>
      <c r="D53" s="14" t="s">
        <v>213</v>
      </c>
      <c r="E53" s="14" t="s">
        <v>220</v>
      </c>
      <c r="F53" s="14" t="s">
        <v>271</v>
      </c>
      <c r="G53" s="14">
        <v>8</v>
      </c>
      <c r="H53" s="4">
        <v>48076</v>
      </c>
      <c r="I53" s="5">
        <v>0.26</v>
      </c>
      <c r="J53" s="14">
        <v>6209</v>
      </c>
      <c r="K53" s="15" t="s">
        <v>305</v>
      </c>
    </row>
    <row r="54" spans="1:11" x14ac:dyDescent="0.25">
      <c r="A54" s="12" t="s">
        <v>63</v>
      </c>
      <c r="B54" s="13">
        <v>45999</v>
      </c>
      <c r="C54" s="3" t="s">
        <v>163</v>
      </c>
      <c r="D54" s="14" t="s">
        <v>215</v>
      </c>
      <c r="E54" s="14" t="s">
        <v>219</v>
      </c>
      <c r="F54" s="14" t="s">
        <v>272</v>
      </c>
      <c r="G54" s="14">
        <v>8</v>
      </c>
      <c r="H54" s="4">
        <v>49736</v>
      </c>
      <c r="I54" s="5">
        <v>0.22</v>
      </c>
      <c r="J54" s="14">
        <v>4882</v>
      </c>
      <c r="K54" s="15" t="s">
        <v>307</v>
      </c>
    </row>
    <row r="55" spans="1:11" x14ac:dyDescent="0.25">
      <c r="A55" s="12" t="s">
        <v>64</v>
      </c>
      <c r="B55" s="13">
        <v>45588</v>
      </c>
      <c r="C55" s="3" t="s">
        <v>164</v>
      </c>
      <c r="D55" s="14" t="s">
        <v>215</v>
      </c>
      <c r="E55" s="14" t="s">
        <v>219</v>
      </c>
      <c r="F55" s="14" t="s">
        <v>273</v>
      </c>
      <c r="G55" s="14">
        <v>6</v>
      </c>
      <c r="H55" s="4">
        <v>42868</v>
      </c>
      <c r="I55" s="5">
        <v>0.24</v>
      </c>
      <c r="J55" s="14">
        <v>4340</v>
      </c>
      <c r="K55" s="15" t="s">
        <v>309</v>
      </c>
    </row>
    <row r="56" spans="1:11" x14ac:dyDescent="0.25">
      <c r="A56" s="12" t="s">
        <v>65</v>
      </c>
      <c r="B56" s="13">
        <v>45297</v>
      </c>
      <c r="C56" s="3" t="s">
        <v>165</v>
      </c>
      <c r="D56" s="14" t="s">
        <v>215</v>
      </c>
      <c r="E56" s="14" t="s">
        <v>218</v>
      </c>
      <c r="F56" s="14" t="s">
        <v>274</v>
      </c>
      <c r="G56" s="14">
        <v>6</v>
      </c>
      <c r="H56" s="4">
        <v>7408</v>
      </c>
      <c r="I56" s="5">
        <v>0.13</v>
      </c>
      <c r="J56" s="14">
        <v>11118</v>
      </c>
      <c r="K56" s="15" t="s">
        <v>309</v>
      </c>
    </row>
    <row r="57" spans="1:11" x14ac:dyDescent="0.25">
      <c r="A57" s="12" t="s">
        <v>66</v>
      </c>
      <c r="B57" s="13">
        <v>45952</v>
      </c>
      <c r="C57" s="3" t="s">
        <v>166</v>
      </c>
      <c r="D57" s="14" t="s">
        <v>212</v>
      </c>
      <c r="E57" s="14" t="s">
        <v>219</v>
      </c>
      <c r="F57" s="14" t="s">
        <v>221</v>
      </c>
      <c r="G57" s="14">
        <v>1</v>
      </c>
      <c r="H57" s="4">
        <v>22474</v>
      </c>
      <c r="I57" s="5">
        <v>0.28000000000000003</v>
      </c>
      <c r="J57" s="14">
        <v>29278</v>
      </c>
      <c r="K57" s="15" t="s">
        <v>305</v>
      </c>
    </row>
    <row r="58" spans="1:11" x14ac:dyDescent="0.25">
      <c r="A58" s="12" t="s">
        <v>67</v>
      </c>
      <c r="B58" s="13">
        <v>45627</v>
      </c>
      <c r="C58" s="3" t="s">
        <v>167</v>
      </c>
      <c r="D58" s="14" t="s">
        <v>212</v>
      </c>
      <c r="E58" s="14" t="s">
        <v>216</v>
      </c>
      <c r="F58" s="14" t="s">
        <v>275</v>
      </c>
      <c r="G58" s="14">
        <v>1</v>
      </c>
      <c r="H58" s="4">
        <v>36499</v>
      </c>
      <c r="I58" s="5">
        <v>0.27</v>
      </c>
      <c r="J58" s="14">
        <v>13889</v>
      </c>
      <c r="K58" s="15" t="s">
        <v>305</v>
      </c>
    </row>
    <row r="59" spans="1:11" x14ac:dyDescent="0.25">
      <c r="A59" s="12" t="s">
        <v>68</v>
      </c>
      <c r="B59" s="13">
        <v>45074</v>
      </c>
      <c r="C59" s="3" t="s">
        <v>168</v>
      </c>
      <c r="D59" s="14" t="s">
        <v>215</v>
      </c>
      <c r="E59" s="14" t="s">
        <v>216</v>
      </c>
      <c r="F59" s="14" t="s">
        <v>276</v>
      </c>
      <c r="G59" s="14">
        <v>1</v>
      </c>
      <c r="H59" s="4">
        <v>17987</v>
      </c>
      <c r="I59" s="5">
        <v>0.24</v>
      </c>
      <c r="J59" s="14">
        <v>26054</v>
      </c>
      <c r="K59" s="15" t="s">
        <v>308</v>
      </c>
    </row>
    <row r="60" spans="1:11" x14ac:dyDescent="0.25">
      <c r="A60" s="12" t="s">
        <v>69</v>
      </c>
      <c r="B60" s="13">
        <v>45643</v>
      </c>
      <c r="C60" s="3" t="s">
        <v>169</v>
      </c>
      <c r="D60" s="14" t="s">
        <v>215</v>
      </c>
      <c r="E60" s="14" t="s">
        <v>218</v>
      </c>
      <c r="F60" s="14" t="s">
        <v>277</v>
      </c>
      <c r="G60" s="14">
        <v>10</v>
      </c>
      <c r="H60" s="4">
        <v>9015</v>
      </c>
      <c r="I60" s="5">
        <v>0.18</v>
      </c>
      <c r="J60" s="14">
        <v>24947</v>
      </c>
      <c r="K60" s="15" t="s">
        <v>306</v>
      </c>
    </row>
    <row r="61" spans="1:11" x14ac:dyDescent="0.25">
      <c r="A61" s="12" t="s">
        <v>70</v>
      </c>
      <c r="B61" s="13">
        <v>46016</v>
      </c>
      <c r="C61" s="3" t="s">
        <v>170</v>
      </c>
      <c r="D61" s="14" t="s">
        <v>214</v>
      </c>
      <c r="E61" s="14" t="s">
        <v>216</v>
      </c>
      <c r="F61" s="14" t="s">
        <v>278</v>
      </c>
      <c r="G61" s="14">
        <v>2</v>
      </c>
      <c r="H61" s="4">
        <v>28722</v>
      </c>
      <c r="I61" s="5">
        <v>0.24</v>
      </c>
      <c r="J61" s="14">
        <v>22559</v>
      </c>
      <c r="K61" s="15" t="s">
        <v>305</v>
      </c>
    </row>
    <row r="62" spans="1:11" x14ac:dyDescent="0.25">
      <c r="A62" s="12" t="s">
        <v>71</v>
      </c>
      <c r="B62" s="13">
        <v>45821</v>
      </c>
      <c r="C62" s="3" t="s">
        <v>171</v>
      </c>
      <c r="D62" s="14" t="s">
        <v>212</v>
      </c>
      <c r="E62" s="14" t="s">
        <v>219</v>
      </c>
      <c r="F62" s="14" t="s">
        <v>279</v>
      </c>
      <c r="G62" s="14">
        <v>5</v>
      </c>
      <c r="H62" s="4">
        <v>22988</v>
      </c>
      <c r="I62" s="5">
        <v>0.28000000000000003</v>
      </c>
      <c r="J62" s="14">
        <v>3879</v>
      </c>
      <c r="K62" s="15" t="s">
        <v>307</v>
      </c>
    </row>
    <row r="63" spans="1:11" x14ac:dyDescent="0.25">
      <c r="A63" s="12" t="s">
        <v>72</v>
      </c>
      <c r="B63" s="13">
        <v>45231</v>
      </c>
      <c r="C63" s="3" t="s">
        <v>172</v>
      </c>
      <c r="D63" s="14" t="s">
        <v>213</v>
      </c>
      <c r="E63" s="14" t="s">
        <v>218</v>
      </c>
      <c r="F63" s="14" t="s">
        <v>280</v>
      </c>
      <c r="G63" s="14">
        <v>2</v>
      </c>
      <c r="H63" s="4">
        <v>4430</v>
      </c>
      <c r="I63" s="5">
        <v>0.25</v>
      </c>
      <c r="J63" s="14">
        <v>25619</v>
      </c>
      <c r="K63" s="15" t="s">
        <v>308</v>
      </c>
    </row>
    <row r="64" spans="1:11" x14ac:dyDescent="0.25">
      <c r="A64" s="12" t="s">
        <v>73</v>
      </c>
      <c r="B64" s="13">
        <v>46052</v>
      </c>
      <c r="C64" s="3" t="s">
        <v>173</v>
      </c>
      <c r="D64" s="14" t="s">
        <v>213</v>
      </c>
      <c r="E64" s="14" t="s">
        <v>217</v>
      </c>
      <c r="F64" s="14" t="s">
        <v>281</v>
      </c>
      <c r="G64" s="14">
        <v>1</v>
      </c>
      <c r="H64" s="4">
        <v>26096</v>
      </c>
      <c r="I64" s="5">
        <v>0.08</v>
      </c>
      <c r="J64" s="14">
        <v>4367</v>
      </c>
      <c r="K64" s="15" t="s">
        <v>307</v>
      </c>
    </row>
    <row r="65" spans="1:11" x14ac:dyDescent="0.25">
      <c r="A65" s="12" t="s">
        <v>74</v>
      </c>
      <c r="B65" s="13">
        <v>45690</v>
      </c>
      <c r="C65" s="3" t="s">
        <v>174</v>
      </c>
      <c r="D65" s="14" t="s">
        <v>213</v>
      </c>
      <c r="E65" s="14" t="s">
        <v>219</v>
      </c>
      <c r="F65" s="14" t="s">
        <v>282</v>
      </c>
      <c r="G65" s="14">
        <v>6</v>
      </c>
      <c r="H65" s="4">
        <v>34343</v>
      </c>
      <c r="I65" s="5">
        <v>0.11</v>
      </c>
      <c r="J65" s="14">
        <v>29204</v>
      </c>
      <c r="K65" s="15" t="s">
        <v>309</v>
      </c>
    </row>
    <row r="66" spans="1:11" x14ac:dyDescent="0.25">
      <c r="A66" s="12" t="s">
        <v>75</v>
      </c>
      <c r="B66" s="13">
        <v>45167</v>
      </c>
      <c r="C66" s="3" t="s">
        <v>175</v>
      </c>
      <c r="D66" s="14" t="s">
        <v>212</v>
      </c>
      <c r="E66" s="14" t="s">
        <v>216</v>
      </c>
      <c r="F66" s="14" t="s">
        <v>283</v>
      </c>
      <c r="G66" s="14">
        <v>3</v>
      </c>
      <c r="H66" s="4">
        <v>36944</v>
      </c>
      <c r="I66" s="5">
        <v>0.05</v>
      </c>
      <c r="J66" s="14">
        <v>28791</v>
      </c>
      <c r="K66" s="15" t="s">
        <v>307</v>
      </c>
    </row>
    <row r="67" spans="1:11" x14ac:dyDescent="0.25">
      <c r="A67" s="12" t="s">
        <v>76</v>
      </c>
      <c r="B67" s="13">
        <v>45585</v>
      </c>
      <c r="C67" s="3" t="s">
        <v>176</v>
      </c>
      <c r="D67" s="14" t="s">
        <v>215</v>
      </c>
      <c r="E67" s="14" t="s">
        <v>216</v>
      </c>
      <c r="F67" s="14" t="s">
        <v>284</v>
      </c>
      <c r="G67" s="14">
        <v>9</v>
      </c>
      <c r="H67" s="4">
        <v>25820</v>
      </c>
      <c r="I67" s="5">
        <v>0.19</v>
      </c>
      <c r="J67" s="14">
        <v>1394</v>
      </c>
      <c r="K67" s="15" t="s">
        <v>306</v>
      </c>
    </row>
    <row r="68" spans="1:11" x14ac:dyDescent="0.25">
      <c r="A68" s="12" t="s">
        <v>77</v>
      </c>
      <c r="B68" s="13">
        <v>45195</v>
      </c>
      <c r="C68" s="3" t="s">
        <v>177</v>
      </c>
      <c r="D68" s="14" t="s">
        <v>212</v>
      </c>
      <c r="E68" s="14" t="s">
        <v>217</v>
      </c>
      <c r="F68" s="14" t="s">
        <v>285</v>
      </c>
      <c r="G68" s="14">
        <v>3</v>
      </c>
      <c r="H68" s="4">
        <v>45624</v>
      </c>
      <c r="I68" s="5">
        <v>0.09</v>
      </c>
      <c r="J68" s="14">
        <v>18294</v>
      </c>
      <c r="K68" s="15" t="s">
        <v>305</v>
      </c>
    </row>
    <row r="69" spans="1:11" x14ac:dyDescent="0.25">
      <c r="A69" s="12" t="s">
        <v>78</v>
      </c>
      <c r="B69" s="13">
        <v>45296</v>
      </c>
      <c r="C69" s="3" t="s">
        <v>178</v>
      </c>
      <c r="D69" s="14" t="s">
        <v>214</v>
      </c>
      <c r="E69" s="14" t="s">
        <v>220</v>
      </c>
      <c r="F69" s="14" t="s">
        <v>286</v>
      </c>
      <c r="G69" s="14">
        <v>6</v>
      </c>
      <c r="H69" s="4">
        <v>10062</v>
      </c>
      <c r="I69" s="5">
        <v>0.13</v>
      </c>
      <c r="J69" s="14">
        <v>10049</v>
      </c>
      <c r="K69" s="15" t="s">
        <v>305</v>
      </c>
    </row>
    <row r="70" spans="1:11" x14ac:dyDescent="0.25">
      <c r="A70" s="12" t="s">
        <v>79</v>
      </c>
      <c r="B70" s="13">
        <v>45841</v>
      </c>
      <c r="C70" s="3" t="s">
        <v>179</v>
      </c>
      <c r="D70" s="14" t="s">
        <v>214</v>
      </c>
      <c r="E70" s="14" t="s">
        <v>220</v>
      </c>
      <c r="F70" s="14" t="s">
        <v>287</v>
      </c>
      <c r="G70" s="14">
        <v>4</v>
      </c>
      <c r="H70" s="4">
        <v>30700</v>
      </c>
      <c r="I70" s="5">
        <v>7.0000000000000007E-2</v>
      </c>
      <c r="J70" s="14">
        <v>19486</v>
      </c>
      <c r="K70" s="15" t="s">
        <v>309</v>
      </c>
    </row>
    <row r="71" spans="1:11" x14ac:dyDescent="0.25">
      <c r="A71" s="12" t="s">
        <v>80</v>
      </c>
      <c r="B71" s="13">
        <v>45473</v>
      </c>
      <c r="C71" s="3" t="s">
        <v>180</v>
      </c>
      <c r="D71" s="14" t="s">
        <v>214</v>
      </c>
      <c r="E71" s="14" t="s">
        <v>217</v>
      </c>
      <c r="F71" s="14" t="s">
        <v>288</v>
      </c>
      <c r="G71" s="14">
        <v>2</v>
      </c>
      <c r="H71" s="4">
        <v>49447</v>
      </c>
      <c r="I71" s="5">
        <v>0.05</v>
      </c>
      <c r="J71" s="14">
        <v>20382</v>
      </c>
      <c r="K71" s="15" t="s">
        <v>309</v>
      </c>
    </row>
    <row r="72" spans="1:11" x14ac:dyDescent="0.25">
      <c r="A72" s="12" t="s">
        <v>81</v>
      </c>
      <c r="B72" s="13">
        <v>45994</v>
      </c>
      <c r="C72" s="3" t="s">
        <v>181</v>
      </c>
      <c r="D72" s="14" t="s">
        <v>213</v>
      </c>
      <c r="E72" s="14" t="s">
        <v>220</v>
      </c>
      <c r="F72" s="14" t="s">
        <v>238</v>
      </c>
      <c r="G72" s="14">
        <v>4</v>
      </c>
      <c r="H72" s="4">
        <v>23288</v>
      </c>
      <c r="I72" s="5">
        <v>0.18</v>
      </c>
      <c r="J72" s="14">
        <v>8452</v>
      </c>
      <c r="K72" s="15" t="s">
        <v>307</v>
      </c>
    </row>
    <row r="73" spans="1:11" x14ac:dyDescent="0.25">
      <c r="A73" s="12" t="s">
        <v>82</v>
      </c>
      <c r="B73" s="13">
        <v>45814</v>
      </c>
      <c r="C73" s="3" t="s">
        <v>182</v>
      </c>
      <c r="D73" s="14" t="s">
        <v>214</v>
      </c>
      <c r="E73" s="14" t="s">
        <v>219</v>
      </c>
      <c r="F73" s="14" t="s">
        <v>289</v>
      </c>
      <c r="G73" s="14">
        <v>2</v>
      </c>
      <c r="H73" s="4">
        <v>25780</v>
      </c>
      <c r="I73" s="5">
        <v>0.14000000000000001</v>
      </c>
      <c r="J73" s="14">
        <v>17249</v>
      </c>
      <c r="K73" s="15" t="s">
        <v>308</v>
      </c>
    </row>
    <row r="74" spans="1:11" x14ac:dyDescent="0.25">
      <c r="A74" s="12" t="s">
        <v>83</v>
      </c>
      <c r="B74" s="13">
        <v>45358</v>
      </c>
      <c r="C74" s="3" t="s">
        <v>183</v>
      </c>
      <c r="D74" s="14" t="s">
        <v>212</v>
      </c>
      <c r="E74" s="14" t="s">
        <v>219</v>
      </c>
      <c r="F74" s="14" t="s">
        <v>222</v>
      </c>
      <c r="G74" s="14">
        <v>7</v>
      </c>
      <c r="H74" s="4">
        <v>18349</v>
      </c>
      <c r="I74" s="5">
        <v>7.0000000000000007E-2</v>
      </c>
      <c r="J74" s="14">
        <v>9339</v>
      </c>
      <c r="K74" s="15" t="s">
        <v>307</v>
      </c>
    </row>
    <row r="75" spans="1:11" x14ac:dyDescent="0.25">
      <c r="A75" s="12" t="s">
        <v>84</v>
      </c>
      <c r="B75" s="13">
        <v>45774</v>
      </c>
      <c r="C75" s="3" t="s">
        <v>184</v>
      </c>
      <c r="D75" s="14" t="s">
        <v>212</v>
      </c>
      <c r="E75" s="14" t="s">
        <v>218</v>
      </c>
      <c r="F75" s="14" t="s">
        <v>223</v>
      </c>
      <c r="G75" s="14">
        <v>5</v>
      </c>
      <c r="H75" s="4">
        <v>1539</v>
      </c>
      <c r="I75" s="5">
        <v>0.27</v>
      </c>
      <c r="J75" s="14">
        <v>14897</v>
      </c>
      <c r="K75" s="15" t="s">
        <v>306</v>
      </c>
    </row>
    <row r="76" spans="1:11" x14ac:dyDescent="0.25">
      <c r="A76" s="12" t="s">
        <v>85</v>
      </c>
      <c r="B76" s="13">
        <v>45898</v>
      </c>
      <c r="C76" s="3" t="s">
        <v>185</v>
      </c>
      <c r="D76" s="14" t="s">
        <v>215</v>
      </c>
      <c r="E76" s="14" t="s">
        <v>218</v>
      </c>
      <c r="F76" s="14" t="s">
        <v>290</v>
      </c>
      <c r="G76" s="14">
        <v>6</v>
      </c>
      <c r="H76" s="4">
        <v>22501</v>
      </c>
      <c r="I76" s="5">
        <v>0.17</v>
      </c>
      <c r="J76" s="14">
        <v>14280</v>
      </c>
      <c r="K76" s="15" t="s">
        <v>305</v>
      </c>
    </row>
    <row r="77" spans="1:11" x14ac:dyDescent="0.25">
      <c r="A77" s="12" t="s">
        <v>86</v>
      </c>
      <c r="B77" s="13">
        <v>45237</v>
      </c>
      <c r="C77" s="3" t="s">
        <v>186</v>
      </c>
      <c r="D77" s="14" t="s">
        <v>214</v>
      </c>
      <c r="E77" s="14" t="s">
        <v>217</v>
      </c>
      <c r="F77" s="14" t="s">
        <v>291</v>
      </c>
      <c r="G77" s="14">
        <v>10</v>
      </c>
      <c r="H77" s="4">
        <v>11899</v>
      </c>
      <c r="I77" s="5">
        <v>0.16</v>
      </c>
      <c r="J77" s="14">
        <v>24178</v>
      </c>
      <c r="K77" s="15" t="s">
        <v>309</v>
      </c>
    </row>
    <row r="78" spans="1:11" x14ac:dyDescent="0.25">
      <c r="A78" s="12" t="s">
        <v>87</v>
      </c>
      <c r="B78" s="13">
        <v>45638</v>
      </c>
      <c r="C78" s="3" t="s">
        <v>187</v>
      </c>
      <c r="D78" s="14" t="s">
        <v>214</v>
      </c>
      <c r="E78" s="14" t="s">
        <v>218</v>
      </c>
      <c r="F78" s="14" t="s">
        <v>292</v>
      </c>
      <c r="G78" s="14">
        <v>3</v>
      </c>
      <c r="H78" s="4">
        <v>13307</v>
      </c>
      <c r="I78" s="5">
        <v>0.15</v>
      </c>
      <c r="J78" s="14">
        <v>26119</v>
      </c>
      <c r="K78" s="15" t="s">
        <v>308</v>
      </c>
    </row>
    <row r="79" spans="1:11" x14ac:dyDescent="0.25">
      <c r="A79" s="12" t="s">
        <v>88</v>
      </c>
      <c r="B79" s="13">
        <v>45025</v>
      </c>
      <c r="C79" s="3" t="s">
        <v>188</v>
      </c>
      <c r="D79" s="14" t="s">
        <v>215</v>
      </c>
      <c r="E79" s="14" t="s">
        <v>217</v>
      </c>
      <c r="F79" s="14" t="s">
        <v>246</v>
      </c>
      <c r="G79" s="14">
        <v>2</v>
      </c>
      <c r="H79" s="4">
        <v>11620</v>
      </c>
      <c r="I79" s="5">
        <v>0.24</v>
      </c>
      <c r="J79" s="14">
        <v>2509</v>
      </c>
      <c r="K79" s="15" t="s">
        <v>309</v>
      </c>
    </row>
    <row r="80" spans="1:11" x14ac:dyDescent="0.25">
      <c r="A80" s="12" t="s">
        <v>89</v>
      </c>
      <c r="B80" s="13">
        <v>45136</v>
      </c>
      <c r="C80" s="3" t="s">
        <v>189</v>
      </c>
      <c r="D80" s="14" t="s">
        <v>215</v>
      </c>
      <c r="E80" s="14" t="s">
        <v>218</v>
      </c>
      <c r="F80" s="14" t="s">
        <v>240</v>
      </c>
      <c r="G80" s="14">
        <v>8</v>
      </c>
      <c r="H80" s="4">
        <v>42631</v>
      </c>
      <c r="I80" s="5">
        <v>0.23</v>
      </c>
      <c r="J80" s="14">
        <v>1103</v>
      </c>
      <c r="K80" s="15" t="s">
        <v>305</v>
      </c>
    </row>
    <row r="81" spans="1:11" x14ac:dyDescent="0.25">
      <c r="A81" s="12" t="s">
        <v>90</v>
      </c>
      <c r="B81" s="13">
        <v>45827</v>
      </c>
      <c r="C81" s="3" t="s">
        <v>190</v>
      </c>
      <c r="D81" s="14" t="s">
        <v>215</v>
      </c>
      <c r="E81" s="14" t="s">
        <v>219</v>
      </c>
      <c r="F81" s="14" t="s">
        <v>293</v>
      </c>
      <c r="G81" s="14">
        <v>7</v>
      </c>
      <c r="H81" s="4">
        <v>42159</v>
      </c>
      <c r="I81" s="5">
        <v>0.28000000000000003</v>
      </c>
      <c r="J81" s="14">
        <v>15035</v>
      </c>
      <c r="K81" s="15" t="s">
        <v>305</v>
      </c>
    </row>
    <row r="82" spans="1:11" x14ac:dyDescent="0.25">
      <c r="A82" s="12" t="s">
        <v>91</v>
      </c>
      <c r="B82" s="13">
        <v>45000</v>
      </c>
      <c r="C82" s="3" t="s">
        <v>191</v>
      </c>
      <c r="D82" s="14" t="s">
        <v>213</v>
      </c>
      <c r="E82" s="14" t="s">
        <v>220</v>
      </c>
      <c r="F82" s="14" t="s">
        <v>294</v>
      </c>
      <c r="G82" s="14">
        <v>4</v>
      </c>
      <c r="H82" s="4">
        <v>41002</v>
      </c>
      <c r="I82" s="5">
        <v>0.25</v>
      </c>
      <c r="J82" s="14">
        <v>23989</v>
      </c>
      <c r="K82" s="15" t="s">
        <v>305</v>
      </c>
    </row>
    <row r="83" spans="1:11" x14ac:dyDescent="0.25">
      <c r="A83" s="12" t="s">
        <v>92</v>
      </c>
      <c r="B83" s="13">
        <v>45057</v>
      </c>
      <c r="C83" s="3" t="s">
        <v>192</v>
      </c>
      <c r="D83" s="14" t="s">
        <v>214</v>
      </c>
      <c r="E83" s="14" t="s">
        <v>220</v>
      </c>
      <c r="F83" s="14" t="s">
        <v>295</v>
      </c>
      <c r="G83" s="14">
        <v>8</v>
      </c>
      <c r="H83" s="4">
        <v>3959</v>
      </c>
      <c r="I83" s="5">
        <v>0.05</v>
      </c>
      <c r="J83" s="14">
        <v>5553</v>
      </c>
      <c r="K83" s="15" t="s">
        <v>306</v>
      </c>
    </row>
    <row r="84" spans="1:11" x14ac:dyDescent="0.25">
      <c r="A84" s="12" t="s">
        <v>93</v>
      </c>
      <c r="B84" s="13">
        <v>46010</v>
      </c>
      <c r="C84" s="3" t="s">
        <v>193</v>
      </c>
      <c r="D84" s="14" t="s">
        <v>212</v>
      </c>
      <c r="E84" s="14" t="s">
        <v>217</v>
      </c>
      <c r="F84" s="14" t="s">
        <v>251</v>
      </c>
      <c r="G84" s="14">
        <v>10</v>
      </c>
      <c r="H84" s="4">
        <v>41259</v>
      </c>
      <c r="I84" s="5">
        <v>0.28000000000000003</v>
      </c>
      <c r="J84" s="14">
        <v>12716</v>
      </c>
      <c r="K84" s="15" t="s">
        <v>307</v>
      </c>
    </row>
    <row r="85" spans="1:11" x14ac:dyDescent="0.25">
      <c r="A85" s="12" t="s">
        <v>94</v>
      </c>
      <c r="B85" s="13">
        <v>45547</v>
      </c>
      <c r="C85" s="3" t="s">
        <v>194</v>
      </c>
      <c r="D85" s="14" t="s">
        <v>214</v>
      </c>
      <c r="E85" s="14" t="s">
        <v>216</v>
      </c>
      <c r="F85" s="14" t="s">
        <v>296</v>
      </c>
      <c r="G85" s="14">
        <v>10</v>
      </c>
      <c r="H85" s="4">
        <v>30339</v>
      </c>
      <c r="I85" s="5">
        <v>0.09</v>
      </c>
      <c r="J85" s="14">
        <v>7843</v>
      </c>
      <c r="K85" s="15" t="s">
        <v>306</v>
      </c>
    </row>
    <row r="86" spans="1:11" x14ac:dyDescent="0.25">
      <c r="A86" s="12" t="s">
        <v>95</v>
      </c>
      <c r="B86" s="13">
        <v>45136</v>
      </c>
      <c r="C86" s="3" t="s">
        <v>195</v>
      </c>
      <c r="D86" s="14" t="s">
        <v>213</v>
      </c>
      <c r="E86" s="14" t="s">
        <v>216</v>
      </c>
      <c r="F86" s="14" t="s">
        <v>242</v>
      </c>
      <c r="G86" s="14">
        <v>2</v>
      </c>
      <c r="H86" s="4">
        <v>21231</v>
      </c>
      <c r="I86" s="5">
        <v>0.15</v>
      </c>
      <c r="J86" s="14">
        <v>9921</v>
      </c>
      <c r="K86" s="15" t="s">
        <v>308</v>
      </c>
    </row>
    <row r="87" spans="1:11" x14ac:dyDescent="0.25">
      <c r="A87" s="12" t="s">
        <v>96</v>
      </c>
      <c r="B87" s="13">
        <v>45063</v>
      </c>
      <c r="C87" s="3" t="s">
        <v>196</v>
      </c>
      <c r="D87" s="14" t="s">
        <v>214</v>
      </c>
      <c r="E87" s="14" t="s">
        <v>216</v>
      </c>
      <c r="F87" s="14" t="s">
        <v>297</v>
      </c>
      <c r="G87" s="14">
        <v>6</v>
      </c>
      <c r="H87" s="4">
        <v>28649</v>
      </c>
      <c r="I87" s="5">
        <v>0.27</v>
      </c>
      <c r="J87" s="14">
        <v>7530</v>
      </c>
      <c r="K87" s="15" t="s">
        <v>309</v>
      </c>
    </row>
    <row r="88" spans="1:11" x14ac:dyDescent="0.25">
      <c r="A88" s="12" t="s">
        <v>97</v>
      </c>
      <c r="B88" s="13">
        <v>45116</v>
      </c>
      <c r="C88" s="3" t="s">
        <v>197</v>
      </c>
      <c r="D88" s="14" t="s">
        <v>212</v>
      </c>
      <c r="E88" s="14" t="s">
        <v>220</v>
      </c>
      <c r="F88" s="14" t="s">
        <v>298</v>
      </c>
      <c r="G88" s="14">
        <v>1</v>
      </c>
      <c r="H88" s="4">
        <v>44554</v>
      </c>
      <c r="I88" s="5">
        <v>0.3</v>
      </c>
      <c r="J88" s="14">
        <v>7237</v>
      </c>
      <c r="K88" s="15" t="s">
        <v>307</v>
      </c>
    </row>
    <row r="89" spans="1:11" x14ac:dyDescent="0.25">
      <c r="A89" s="12" t="s">
        <v>98</v>
      </c>
      <c r="B89" s="13">
        <v>45560</v>
      </c>
      <c r="C89" s="3" t="s">
        <v>198</v>
      </c>
      <c r="D89" s="14" t="s">
        <v>214</v>
      </c>
      <c r="E89" s="14" t="s">
        <v>218</v>
      </c>
      <c r="F89" s="14" t="s">
        <v>221</v>
      </c>
      <c r="G89" s="14">
        <v>4</v>
      </c>
      <c r="H89" s="4">
        <v>29545</v>
      </c>
      <c r="I89" s="5">
        <v>0.27</v>
      </c>
      <c r="J89" s="14">
        <v>13284</v>
      </c>
      <c r="K89" s="15" t="s">
        <v>306</v>
      </c>
    </row>
    <row r="90" spans="1:11" x14ac:dyDescent="0.25">
      <c r="A90" s="12" t="s">
        <v>99</v>
      </c>
      <c r="B90" s="13">
        <v>45841</v>
      </c>
      <c r="C90" s="3" t="s">
        <v>199</v>
      </c>
      <c r="D90" s="14" t="s">
        <v>212</v>
      </c>
      <c r="E90" s="14" t="s">
        <v>219</v>
      </c>
      <c r="F90" s="14" t="s">
        <v>299</v>
      </c>
      <c r="G90" s="14">
        <v>6</v>
      </c>
      <c r="H90" s="4">
        <v>37101</v>
      </c>
      <c r="I90" s="5">
        <v>0.11</v>
      </c>
      <c r="J90" s="14">
        <v>12365</v>
      </c>
      <c r="K90" s="15" t="s">
        <v>305</v>
      </c>
    </row>
    <row r="91" spans="1:11" x14ac:dyDescent="0.25">
      <c r="A91" s="12" t="s">
        <v>100</v>
      </c>
      <c r="B91" s="13">
        <v>45943</v>
      </c>
      <c r="C91" s="3" t="s">
        <v>200</v>
      </c>
      <c r="D91" s="14" t="s">
        <v>214</v>
      </c>
      <c r="E91" s="14" t="s">
        <v>220</v>
      </c>
      <c r="F91" s="14" t="s">
        <v>300</v>
      </c>
      <c r="G91" s="14">
        <v>5</v>
      </c>
      <c r="H91" s="4">
        <v>43970</v>
      </c>
      <c r="I91" s="5">
        <v>0.28000000000000003</v>
      </c>
      <c r="J91" s="14">
        <v>18159</v>
      </c>
      <c r="K91" s="15" t="s">
        <v>307</v>
      </c>
    </row>
    <row r="92" spans="1:11" x14ac:dyDescent="0.25">
      <c r="A92" s="12" t="s">
        <v>101</v>
      </c>
      <c r="B92" s="13">
        <v>45733</v>
      </c>
      <c r="C92" s="3" t="s">
        <v>201</v>
      </c>
      <c r="D92" s="14" t="s">
        <v>213</v>
      </c>
      <c r="E92" s="14" t="s">
        <v>217</v>
      </c>
      <c r="F92" s="14" t="s">
        <v>226</v>
      </c>
      <c r="G92" s="14">
        <v>7</v>
      </c>
      <c r="H92" s="4">
        <v>41397</v>
      </c>
      <c r="I92" s="5">
        <v>0.26</v>
      </c>
      <c r="J92" s="14">
        <v>13076</v>
      </c>
      <c r="K92" s="15" t="s">
        <v>306</v>
      </c>
    </row>
    <row r="93" spans="1:11" x14ac:dyDescent="0.25">
      <c r="A93" s="12" t="s">
        <v>102</v>
      </c>
      <c r="B93" s="13">
        <v>45107</v>
      </c>
      <c r="C93" s="3" t="s">
        <v>202</v>
      </c>
      <c r="D93" s="14" t="s">
        <v>212</v>
      </c>
      <c r="E93" s="14" t="s">
        <v>219</v>
      </c>
      <c r="F93" s="14" t="s">
        <v>301</v>
      </c>
      <c r="G93" s="14">
        <v>6</v>
      </c>
      <c r="H93" s="4">
        <v>48359</v>
      </c>
      <c r="I93" s="5">
        <v>0.08</v>
      </c>
      <c r="J93" s="14">
        <v>11214</v>
      </c>
      <c r="K93" s="15" t="s">
        <v>307</v>
      </c>
    </row>
    <row r="94" spans="1:11" x14ac:dyDescent="0.25">
      <c r="A94" s="12" t="s">
        <v>103</v>
      </c>
      <c r="B94" s="13">
        <v>45488</v>
      </c>
      <c r="C94" s="3" t="s">
        <v>203</v>
      </c>
      <c r="D94" s="14" t="s">
        <v>212</v>
      </c>
      <c r="E94" s="14" t="s">
        <v>218</v>
      </c>
      <c r="F94" s="14" t="s">
        <v>302</v>
      </c>
      <c r="G94" s="14">
        <v>6</v>
      </c>
      <c r="H94" s="4">
        <v>4857</v>
      </c>
      <c r="I94" s="5">
        <v>0.24</v>
      </c>
      <c r="J94" s="14">
        <v>29563</v>
      </c>
      <c r="K94" s="15" t="s">
        <v>308</v>
      </c>
    </row>
    <row r="95" spans="1:11" x14ac:dyDescent="0.25">
      <c r="A95" s="12" t="s">
        <v>104</v>
      </c>
      <c r="B95" s="13">
        <v>45764</v>
      </c>
      <c r="C95" s="3" t="s">
        <v>204</v>
      </c>
      <c r="D95" s="14" t="s">
        <v>214</v>
      </c>
      <c r="E95" s="14" t="s">
        <v>220</v>
      </c>
      <c r="F95" s="14" t="s">
        <v>303</v>
      </c>
      <c r="G95" s="14">
        <v>2</v>
      </c>
      <c r="H95" s="4">
        <v>37074</v>
      </c>
      <c r="I95" s="5">
        <v>0.24</v>
      </c>
      <c r="J95" s="14">
        <v>23556</v>
      </c>
      <c r="K95" s="15" t="s">
        <v>308</v>
      </c>
    </row>
    <row r="96" spans="1:11" x14ac:dyDescent="0.25">
      <c r="A96" s="12" t="s">
        <v>105</v>
      </c>
      <c r="B96" s="13">
        <v>45381</v>
      </c>
      <c r="C96" s="3" t="s">
        <v>205</v>
      </c>
      <c r="D96" s="14" t="s">
        <v>214</v>
      </c>
      <c r="E96" s="14" t="s">
        <v>217</v>
      </c>
      <c r="F96" s="14" t="s">
        <v>304</v>
      </c>
      <c r="G96" s="14">
        <v>9</v>
      </c>
      <c r="H96" s="4">
        <v>29833</v>
      </c>
      <c r="I96" s="5">
        <v>7.0000000000000007E-2</v>
      </c>
      <c r="J96" s="14">
        <v>28717</v>
      </c>
      <c r="K96" s="15" t="s">
        <v>307</v>
      </c>
    </row>
    <row r="97" spans="1:11" x14ac:dyDescent="0.25">
      <c r="A97" s="12" t="s">
        <v>106</v>
      </c>
      <c r="B97" s="13">
        <v>45776</v>
      </c>
      <c r="C97" s="3" t="s">
        <v>206</v>
      </c>
      <c r="D97" s="14" t="s">
        <v>212</v>
      </c>
      <c r="E97" s="14" t="s">
        <v>220</v>
      </c>
      <c r="F97" s="14" t="s">
        <v>258</v>
      </c>
      <c r="G97" s="14">
        <v>10</v>
      </c>
      <c r="H97" s="4">
        <v>49583</v>
      </c>
      <c r="I97" s="5">
        <v>0.1</v>
      </c>
      <c r="J97" s="14">
        <v>3289</v>
      </c>
      <c r="K97" s="15" t="s">
        <v>307</v>
      </c>
    </row>
    <row r="98" spans="1:11" x14ac:dyDescent="0.25">
      <c r="A98" s="12" t="s">
        <v>107</v>
      </c>
      <c r="B98" s="13">
        <v>45844</v>
      </c>
      <c r="C98" s="3" t="s">
        <v>207</v>
      </c>
      <c r="D98" s="14" t="s">
        <v>213</v>
      </c>
      <c r="E98" s="14" t="s">
        <v>217</v>
      </c>
      <c r="F98" s="14" t="s">
        <v>253</v>
      </c>
      <c r="G98" s="14">
        <v>4</v>
      </c>
      <c r="H98" s="4">
        <v>16421</v>
      </c>
      <c r="I98" s="5">
        <v>0.23</v>
      </c>
      <c r="J98" s="14">
        <v>21720</v>
      </c>
      <c r="K98" s="15" t="s">
        <v>309</v>
      </c>
    </row>
    <row r="99" spans="1:11" x14ac:dyDescent="0.25">
      <c r="A99" s="12" t="s">
        <v>108</v>
      </c>
      <c r="B99" s="13">
        <v>45539</v>
      </c>
      <c r="C99" s="3" t="s">
        <v>208</v>
      </c>
      <c r="D99" s="14" t="s">
        <v>215</v>
      </c>
      <c r="E99" s="14" t="s">
        <v>218</v>
      </c>
      <c r="F99" s="14" t="s">
        <v>223</v>
      </c>
      <c r="G99" s="14">
        <v>4</v>
      </c>
      <c r="H99" s="4">
        <v>7966</v>
      </c>
      <c r="I99" s="5">
        <v>0.25</v>
      </c>
      <c r="J99" s="14">
        <v>17533</v>
      </c>
      <c r="K99" s="15" t="s">
        <v>305</v>
      </c>
    </row>
    <row r="100" spans="1:11" x14ac:dyDescent="0.25">
      <c r="A100" s="12" t="s">
        <v>109</v>
      </c>
      <c r="B100" s="13">
        <v>45133</v>
      </c>
      <c r="C100" s="3" t="s">
        <v>209</v>
      </c>
      <c r="D100" s="14" t="s">
        <v>214</v>
      </c>
      <c r="E100" s="14" t="s">
        <v>218</v>
      </c>
      <c r="F100" s="14" t="s">
        <v>250</v>
      </c>
      <c r="G100" s="14">
        <v>9</v>
      </c>
      <c r="H100" s="4">
        <v>2084</v>
      </c>
      <c r="I100" s="5">
        <v>7.0000000000000007E-2</v>
      </c>
      <c r="J100" s="14">
        <v>20182</v>
      </c>
      <c r="K100" s="15" t="s">
        <v>305</v>
      </c>
    </row>
    <row r="101" spans="1:11" x14ac:dyDescent="0.25">
      <c r="A101" s="12" t="s">
        <v>110</v>
      </c>
      <c r="B101" s="13">
        <v>45416</v>
      </c>
      <c r="C101" s="3" t="s">
        <v>210</v>
      </c>
      <c r="D101" s="14" t="s">
        <v>215</v>
      </c>
      <c r="E101" s="14" t="s">
        <v>216</v>
      </c>
      <c r="F101" s="14" t="s">
        <v>227</v>
      </c>
      <c r="G101" s="14">
        <v>5</v>
      </c>
      <c r="H101" s="4">
        <v>24581</v>
      </c>
      <c r="I101" s="5">
        <v>0.21</v>
      </c>
      <c r="J101" s="14">
        <v>16997</v>
      </c>
      <c r="K101" s="15" t="s">
        <v>305</v>
      </c>
    </row>
    <row r="102" spans="1:11" x14ac:dyDescent="0.25">
      <c r="A102" s="16" t="s">
        <v>111</v>
      </c>
      <c r="B102" s="17">
        <v>45600</v>
      </c>
      <c r="C102" s="6" t="s">
        <v>211</v>
      </c>
      <c r="D102" s="18" t="s">
        <v>212</v>
      </c>
      <c r="E102" s="18" t="s">
        <v>220</v>
      </c>
      <c r="F102" s="18" t="str">
        <f t="shared" ref="F102" ca="1" si="0">CHOOSE(RANDBETWEEN(1,20),"Laptop","Mobile Phone","Headphones","Keyboard","Mouse","Smart Watch","Tablet","Monitor","Speaker","Power Bank","Printer","Webcam","USB Cable","Power Adapter","Gaming Chair","Backpack","SSD","Hard Disk","Router","Bluetooth Earbuds")</f>
        <v>Mobile Phone</v>
      </c>
      <c r="G102" s="18">
        <v>9</v>
      </c>
      <c r="H102" s="7">
        <v>43144</v>
      </c>
      <c r="I102" s="8">
        <v>7.0000000000000007E-2</v>
      </c>
      <c r="J102" s="18">
        <v>7496</v>
      </c>
      <c r="K102" s="19" t="s">
        <v>307</v>
      </c>
    </row>
  </sheetData>
  <phoneticPr fontId="3"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E-Commerce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S0963815</dc:creator>
  <cp:lastModifiedBy>Deepak R</cp:lastModifiedBy>
  <dcterms:created xsi:type="dcterms:W3CDTF">2026-08-29T05:39:58Z</dcterms:created>
  <dcterms:modified xsi:type="dcterms:W3CDTF">2026-08-29T08:47:50Z</dcterms:modified>
</cp:coreProperties>
</file>